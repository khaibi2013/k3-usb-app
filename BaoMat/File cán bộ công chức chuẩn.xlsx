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ibi/Desktop/"/>
    </mc:Choice>
  </mc:AlternateContent>
  <xr:revisionPtr revIDLastSave="0" documentId="13_ncr:1_{94EAE12D-01F1-3248-B518-FB1BCBE36235}" xr6:coauthVersionLast="47" xr6:coauthVersionMax="47" xr10:uidLastSave="{00000000-0000-0000-0000-000000000000}"/>
  <bookViews>
    <workbookView xWindow="-760" yWindow="660" windowWidth="24980" windowHeight="16440" activeTab="1" xr2:uid="{87F79E21-5A26-44D2-9ED4-A01E3F09DD61}"/>
  </bookViews>
  <sheets>
    <sheet name="CBCCVC đến nay" sheetId="1" r:id="rId1"/>
    <sheet name="Sheet1" sheetId="3" r:id="rId2"/>
    <sheet name="CBCCVC có mặt 1-7" sheetId="2" r:id="rId3"/>
  </sheets>
  <definedNames>
    <definedName name="_xlnm._FilterDatabase" localSheetId="0" hidden="1">'CBCCVC đến nay'!$C$1:$C$242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2" i="1"/>
  <c r="N43" i="1"/>
  <c r="N44" i="1"/>
  <c r="N45" i="1"/>
  <c r="N46" i="1"/>
  <c r="N47" i="1"/>
  <c r="N48" i="1"/>
  <c r="N49" i="1"/>
  <c r="N50" i="1"/>
  <c r="N51" i="1"/>
  <c r="N53" i="1"/>
  <c r="N54" i="1"/>
  <c r="N55" i="1"/>
  <c r="N56" i="1"/>
  <c r="N57" i="1"/>
  <c r="N58" i="1"/>
  <c r="N59" i="1"/>
  <c r="N60" i="1"/>
  <c r="N61" i="1"/>
  <c r="N62" i="1"/>
  <c r="N64" i="1"/>
  <c r="N65" i="1"/>
  <c r="N66" i="1"/>
  <c r="N67" i="1"/>
  <c r="N68" i="1"/>
  <c r="N69" i="1"/>
  <c r="N70" i="1"/>
  <c r="N71" i="1"/>
  <c r="N72" i="1"/>
  <c r="N73" i="1"/>
  <c r="N74" i="1"/>
  <c r="N75" i="1"/>
  <c r="N77" i="1"/>
  <c r="N78" i="1"/>
  <c r="N79" i="1"/>
  <c r="N80" i="1"/>
  <c r="N81" i="1"/>
  <c r="N83" i="1"/>
  <c r="N84" i="1"/>
  <c r="N85" i="1"/>
  <c r="N86" i="1"/>
  <c r="N87" i="1"/>
  <c r="N88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L14" i="1"/>
  <c r="L15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2" i="1"/>
  <c r="L33" i="1"/>
  <c r="L34" i="1"/>
  <c r="L35" i="1"/>
  <c r="L36" i="1"/>
  <c r="L37" i="1"/>
  <c r="L38" i="1"/>
  <c r="L39" i="1"/>
  <c r="L40" i="1"/>
  <c r="L42" i="1"/>
  <c r="L43" i="1"/>
  <c r="L44" i="1"/>
  <c r="L45" i="1"/>
  <c r="L46" i="1"/>
  <c r="L47" i="1"/>
  <c r="L48" i="1"/>
  <c r="L49" i="1"/>
  <c r="L50" i="1"/>
  <c r="L51" i="1"/>
  <c r="L53" i="1"/>
  <c r="L54" i="1"/>
  <c r="L55" i="1"/>
  <c r="L56" i="1"/>
  <c r="L57" i="1"/>
  <c r="L58" i="1"/>
  <c r="L59" i="1"/>
  <c r="L60" i="1"/>
  <c r="L61" i="1"/>
  <c r="L62" i="1"/>
  <c r="L64" i="1"/>
  <c r="L65" i="1"/>
  <c r="L66" i="1"/>
  <c r="L67" i="1"/>
  <c r="L68" i="1"/>
  <c r="L69" i="1"/>
  <c r="L70" i="1"/>
  <c r="L71" i="1"/>
  <c r="L72" i="1"/>
  <c r="L73" i="1"/>
  <c r="L74" i="1"/>
  <c r="L75" i="1"/>
  <c r="L77" i="1"/>
  <c r="L78" i="1"/>
  <c r="L79" i="1"/>
  <c r="L80" i="1"/>
  <c r="L81" i="1"/>
  <c r="L83" i="1"/>
  <c r="L84" i="1"/>
  <c r="L85" i="1"/>
  <c r="L86" i="1"/>
  <c r="L87" i="1"/>
  <c r="L88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1" i="1"/>
  <c r="L12" i="1"/>
  <c r="L13" i="1"/>
  <c r="L10" i="1"/>
  <c r="C240" i="1"/>
  <c r="C237" i="1"/>
  <c r="C228" i="1"/>
  <c r="C226" i="1" s="1"/>
  <c r="C269" i="2"/>
  <c r="C282" i="2"/>
  <c r="C278" i="2"/>
  <c r="R10" i="1" l="1"/>
  <c r="P10" i="1"/>
  <c r="Q10" i="1"/>
  <c r="C267" i="2"/>
  <c r="C266" i="2" s="1"/>
  <c r="C225" i="1"/>
</calcChain>
</file>

<file path=xl/sharedStrings.xml><?xml version="1.0" encoding="utf-8"?>
<sst xmlns="http://schemas.openxmlformats.org/spreadsheetml/2006/main" count="3561" uniqueCount="1387">
  <si>
    <t>PHỤ LỤC</t>
  </si>
  <si>
    <t>TT</t>
  </si>
  <si>
    <t>Họ và tên</t>
  </si>
  <si>
    <t>Ngày tháng
 năm sinh</t>
  </si>
  <si>
    <t>Hộ khẩu 
thường trú</t>
  </si>
  <si>
    <t>Trình độ chuyên môn/ 
chuyên ngành đào tạo</t>
  </si>
  <si>
    <t>Ghi 
chú</t>
  </si>
  <si>
    <t>Nam</t>
  </si>
  <si>
    <t>Nữ</t>
  </si>
  <si>
    <t>Sau 
đại học</t>
  </si>
  <si>
    <t>Đại học</t>
  </si>
  <si>
    <t>Cao đẳng</t>
  </si>
  <si>
    <t>Khác</t>
  </si>
  <si>
    <t>I</t>
  </si>
  <si>
    <t>CÔNG CHỨC</t>
  </si>
  <si>
    <t>Cơ quan Sở Khoa học và Công nghệ tỉnh Ninh Bình</t>
  </si>
  <si>
    <t>1.1</t>
  </si>
  <si>
    <t>1.1.1</t>
  </si>
  <si>
    <t>Vũ Trọng Quế</t>
  </si>
  <si>
    <t>07/06/1970</t>
  </si>
  <si>
    <t>Số 223 đường Hùng Vương, phương Nam Định, Tỉnh Nam Định</t>
  </si>
  <si>
    <t xml:space="preserve">Tiến sĩ- Thạc sĩ, Toán học </t>
  </si>
  <si>
    <t>Toán học</t>
  </si>
  <si>
    <t>1.1.2</t>
  </si>
  <si>
    <t>Vũ Xuân Trung</t>
  </si>
  <si>
    <t>20/08/1976</t>
  </si>
  <si>
    <t>Số 100 Đường Thanh Bình, phường Thiên Trường, tỉnh Ninh Bình.</t>
  </si>
  <si>
    <t>Thạc sĩ, Quản lý khoa học và công nghệ</t>
  </si>
  <si>
    <t>Xây dựng cầu đường</t>
  </si>
  <si>
    <t>1.1.3</t>
  </si>
  <si>
    <t>Phạm Vân Anh</t>
  </si>
  <si>
    <t>Số nhà 129 Lê Quý Đôn, phường Quang Trung, phường Nam Định, tỉnh Ninh Bình</t>
  </si>
  <si>
    <t>Kế toán - Doanh nghiệp</t>
  </si>
  <si>
    <t>1.1.4</t>
  </si>
  <si>
    <t>Nguyễn Tất Nhiên</t>
  </si>
  <si>
    <t>23/03/1983</t>
  </si>
  <si>
    <t>Tiến sĩ - Thương mại điện tử.
Thạc sĩ - Vật lý kỹ thuật</t>
  </si>
  <si>
    <t>Vật lý kỹ thuật</t>
  </si>
  <si>
    <t>1.1.5</t>
  </si>
  <si>
    <t>Nguyễn Toàn Thắng</t>
  </si>
  <si>
    <t>30/04/1977</t>
  </si>
  <si>
    <t>SN 15, ngõ 60, đường Lê Thái Tổ, Phố Tân Thịnh, Phường Tân Thành, TP Hoa Lư, tỉnh Ninh Bình</t>
  </si>
  <si>
    <t>Thạc sĩ - Quản trị kinh doanh</t>
  </si>
  <si>
    <t>Kinh tế phát triển</t>
  </si>
  <si>
    <t>1.1.6</t>
  </si>
  <si>
    <t>Tạ Quang Phương</t>
  </si>
  <si>
    <t>05/5/1976</t>
  </si>
  <si>
    <t>Số nhà 28, Ngõ 29, đường Lê Đại Hành, Phố Thuý Sơn, Phường Thanh Bình, Thành phố Ninh Bình, tỉnh Ninh Bình.</t>
  </si>
  <si>
    <t>Thạc sĩ Địa Lý</t>
  </si>
  <si>
    <t>Địa lý học</t>
  </si>
  <si>
    <t>1.2</t>
  </si>
  <si>
    <t>1.2.1</t>
  </si>
  <si>
    <t>Nguyễn Thị Thanh Loan</t>
  </si>
  <si>
    <t>15/3/1981</t>
  </si>
  <si>
    <t>Số 15A, Ngõ 2, Trịnh Đình Thảo, phường Lộc Hạ, TP Nam Định</t>
  </si>
  <si>
    <t>Thạc sĩ, Quản lý công</t>
  </si>
  <si>
    <t xml:space="preserve">Công nghệ thông tin </t>
  </si>
  <si>
    <t>1.2.2</t>
  </si>
  <si>
    <t>Trần Thị Minh Ngọc</t>
  </si>
  <si>
    <t>16/04/1979</t>
  </si>
  <si>
    <t>SN 88, phố Trung Sơn, P. Bích Đào, TP. Hoa Lư</t>
  </si>
  <si>
    <t>Công nghệ hóa học</t>
  </si>
  <si>
    <t>1.2.3</t>
  </si>
  <si>
    <t>Nguyễn Thị Hoài Giang</t>
  </si>
  <si>
    <t>02/12/1981</t>
  </si>
  <si>
    <t>Xóm Đồng Tiến - Xã Nam Mỹ - Huyện Nam Trực - Tỉnh Nam Định</t>
  </si>
  <si>
    <t>Thông tin học</t>
  </si>
  <si>
    <t>1.2.4</t>
  </si>
  <si>
    <t>Lê Thị Bình</t>
  </si>
  <si>
    <t>14/3/1979</t>
  </si>
  <si>
    <t>Phường Lê Hồng Phong, Thành phố Phủ Lý</t>
  </si>
  <si>
    <t xml:space="preserve">Thạc sỹ, Quản trị kinh doanh </t>
  </si>
  <si>
    <t>Cử nhân Kinh tế</t>
  </si>
  <si>
    <t>1.2.5</t>
  </si>
  <si>
    <t>Trần Thị Phương Linh</t>
  </si>
  <si>
    <t>01/10/1991</t>
  </si>
  <si>
    <t>201 Văn Cao, P. Trần Quang Khải, TP. Nam Định, tỉnh Nam Định</t>
  </si>
  <si>
    <t>Kế toán</t>
  </si>
  <si>
    <t>1.2.6</t>
  </si>
  <si>
    <t>Nguyễn Thị Xuyến</t>
  </si>
  <si>
    <t>Số 60A/75, đường Trần Thái Tông, phường Lộc Vượng, TP Nam Định</t>
  </si>
  <si>
    <t>Thạc sĩ, Lâm học</t>
  </si>
  <si>
    <t>Lâm học</t>
  </si>
  <si>
    <t>1.2.7</t>
  </si>
  <si>
    <t>Trần Tất Thành</t>
  </si>
  <si>
    <t>11/04/1985</t>
  </si>
  <si>
    <t>117B đường Thượng Lỗi, TP. Nam Định, tỉnh Nam Định</t>
  </si>
  <si>
    <t>Quản trị kinh doanh</t>
  </si>
  <si>
    <t>1.2.8</t>
  </si>
  <si>
    <t>Lưu Minh Phương</t>
  </si>
  <si>
    <t>17/11/1986</t>
  </si>
  <si>
    <t>219 Hàn Thuyên, P Vị Xuyên, TP Nam Định, Nam Định</t>
  </si>
  <si>
    <t>Công nghệ thông tin</t>
  </si>
  <si>
    <t>1.2.9</t>
  </si>
  <si>
    <t>Đặng Vũ Hoà</t>
  </si>
  <si>
    <t>17/7/1992</t>
  </si>
  <si>
    <t>Số 4A/679 đường Trường chinh, P. Quang Trung, TP. Nam Định, tỉnh Nam Định</t>
  </si>
  <si>
    <t>Giáo dục thể chất</t>
  </si>
  <si>
    <t>1.2.10</t>
  </si>
  <si>
    <t>Nguyễn Thị Phúc</t>
  </si>
  <si>
    <t>18/7/1986</t>
  </si>
  <si>
    <t>Phường Bích Đào, TP. Hoa Lư</t>
  </si>
  <si>
    <t>1.2.11</t>
  </si>
  <si>
    <t>Tăng Thị Kim Dung</t>
  </si>
  <si>
    <t>19/2/1984</t>
  </si>
  <si>
    <t>Thi Sơn, Kim Bảng, Hà Nam</t>
  </si>
  <si>
    <t>Cử nhân môi trường</t>
  </si>
  <si>
    <t>1.2.12</t>
  </si>
  <si>
    <t>Đinh Vạn Chinh</t>
  </si>
  <si>
    <t>20/8/1981</t>
  </si>
  <si>
    <t>Phường Hoa Lư, tỉnh Ninh Bình</t>
  </si>
  <si>
    <t>Thạc sĩ, Quản trị 
kinh doanh</t>
  </si>
  <si>
    <t>Cử nhân điện tử - viễn thông; 
Cử nhân QTKD</t>
  </si>
  <si>
    <t>1.3</t>
  </si>
  <si>
    <t>1.3.1</t>
  </si>
  <si>
    <t>Đặng Thị Uyên</t>
  </si>
  <si>
    <t>05/08/1975</t>
  </si>
  <si>
    <t>Phố Vinh Quang, P. Ninh Khánh, TP. Hoa Lư</t>
  </si>
  <si>
    <t>Thạc sĩ, Quản lý kinh tế</t>
  </si>
  <si>
    <t>1.3.2</t>
  </si>
  <si>
    <t>Phạm Thị Xuân Mỵ</t>
  </si>
  <si>
    <t>28/10/1982</t>
  </si>
  <si>
    <t>202 Nguyễn Bính, TP Nam Định</t>
  </si>
  <si>
    <t>Thạc sĩ, Kế toán</t>
  </si>
  <si>
    <t>Kinh tế nông nghiệp</t>
  </si>
  <si>
    <t>1.3.3</t>
  </si>
  <si>
    <t>Nguyễn Thị Dung</t>
  </si>
  <si>
    <t>30/08/1975</t>
  </si>
  <si>
    <t>Số nhà 18, ngõ 208, đường Lê Thánh Tông, Thôn Phúc Sơn, Ninh Tiến, Thành phố Hoa Lư, Ninh Bình</t>
  </si>
  <si>
    <t>Thạc sĩ, Quản lý khoa học 
và công nghệ</t>
  </si>
  <si>
    <t>1.3.4</t>
  </si>
  <si>
    <t>Vũ Thị Bích Phượng</t>
  </si>
  <si>
    <t>03/7/1980</t>
  </si>
  <si>
    <t>Phường Vân Giang, TP. Hoa Lư</t>
  </si>
  <si>
    <t>1.3.5</t>
  </si>
  <si>
    <t>Nguyễn Thị Thìn</t>
  </si>
  <si>
    <t>20/02/1988</t>
  </si>
  <si>
    <t>SN 92, Lê Thái Tổ, phố Bình Khang, P. Ninh Khánh, TP. Hoa Lư</t>
  </si>
  <si>
    <t>Tài chính - Ngân hàng</t>
  </si>
  <si>
    <t>1.3.6</t>
  </si>
  <si>
    <t>Phạm Tùng Lâm</t>
  </si>
  <si>
    <t>20/11/1987</t>
  </si>
  <si>
    <t>Xã Liêm Thuận, huyện Thanh Liêm</t>
  </si>
  <si>
    <t>Cử nhân Tài chính
doanh nghiệp</t>
  </si>
  <si>
    <t>1.3.7</t>
  </si>
  <si>
    <t>Hoàng Hải</t>
  </si>
  <si>
    <t>30/05/1983</t>
  </si>
  <si>
    <t>Phố Bình Chương, Phường Ninh Khánh, Thành phố Ninh Bình</t>
  </si>
  <si>
    <t>Thạc sĩ, Khoa học cây trồng</t>
  </si>
  <si>
    <t>Nông học</t>
  </si>
  <si>
    <t>1.3.8</t>
  </si>
  <si>
    <t>Vũ Thị Ánh Hồng</t>
  </si>
  <si>
    <t>09/03/1983</t>
  </si>
  <si>
    <t>41, Lưu Hữu Phước, phường Hạ Long, TP Nam Định</t>
  </si>
  <si>
    <t>Quản trị văn phòng</t>
  </si>
  <si>
    <t>1.4</t>
  </si>
  <si>
    <t>Phòng Khoa học (10 người)</t>
  </si>
  <si>
    <t>1.4.1</t>
  </si>
  <si>
    <t>Trần Xuân Hướng</t>
  </si>
  <si>
    <t>01/12/1979</t>
  </si>
  <si>
    <t>Số nhà 78B, đường Điện Biên, Tổ dân phố Đình Cựu</t>
  </si>
  <si>
    <t>1. Thạc sĩ, Quản lý nhà nước về kinh tế
2. Tiến sĩ, Quản lý nhà nước về kinh tế</t>
  </si>
  <si>
    <t>Kinh tế học</t>
  </si>
  <si>
    <t>1.4.2</t>
  </si>
  <si>
    <t>Phạm Thị Hồng Thái</t>
  </si>
  <si>
    <t>10/8/1986</t>
  </si>
  <si>
    <t xml:space="preserve">Tổ dân phố Quang Thừa, Phường Tượng Lĩnh, 
Kim Bảng, </t>
  </si>
  <si>
    <t>Thạc sỹ, công nghệ sinh học</t>
  </si>
  <si>
    <t>Công nghệ sinh học</t>
  </si>
  <si>
    <t>1.4.3</t>
  </si>
  <si>
    <t>Vũ Đại An</t>
  </si>
  <si>
    <t>18/12/1979</t>
  </si>
  <si>
    <t>3/106 Vũ Trọng Phụng, phường Quang Trung, TP Nam Định</t>
  </si>
  <si>
    <t>1. Thạc sĩ Việt Nam học
2. Tiến sĩ Việt Nam học</t>
  </si>
  <si>
    <t>Đông Phương học</t>
  </si>
  <si>
    <t>1.4.4</t>
  </si>
  <si>
    <t>Trần Giai Nhân</t>
  </si>
  <si>
    <t>04/07/1980</t>
  </si>
  <si>
    <t>202 Đường Nguyễn Bính, Thành phố Nam Định</t>
  </si>
  <si>
    <t>Thạc sĩ, Chăn nuôi</t>
  </si>
  <si>
    <t>Chăn nuôi, Thú y</t>
  </si>
  <si>
    <t>1.4.5</t>
  </si>
  <si>
    <t>Trịnh Thu Hoài</t>
  </si>
  <si>
    <t>21/04/1974</t>
  </si>
  <si>
    <t>SN 164, đường Trần Phú, phố Phúc Thiện, P. Phúc Thành, TP. Hoa Lư</t>
  </si>
  <si>
    <t>Thạc sĩ, Chính sách công</t>
  </si>
  <si>
    <t>Sư phạm Tiếng Anh</t>
  </si>
  <si>
    <t>1.4.6</t>
  </si>
  <si>
    <t>Lê Thị Ngọc</t>
  </si>
  <si>
    <t>03/10/1975</t>
  </si>
  <si>
    <t>SN 23, phố Bình Yên Tây, P. Ninh khánh, TP. Hoa Lư</t>
  </si>
  <si>
    <t>Quản lý kinh tế</t>
  </si>
  <si>
    <t>1.4.7</t>
  </si>
  <si>
    <t>Lê Thị Minh Tâm</t>
  </si>
  <si>
    <t>19/02/1985</t>
  </si>
  <si>
    <t>256 đường Đặng Đoàn Bằng, phường Quang Trung, thành phố Nam Định, tỉnh Nam Định</t>
  </si>
  <si>
    <t>Công nghệ kỹ thuật điện tử truyền thông</t>
  </si>
  <si>
    <t>1.4.8</t>
  </si>
  <si>
    <t>Mai Kim Quý</t>
  </si>
  <si>
    <t>09/07/1990</t>
  </si>
  <si>
    <t>32/235 Lê Hồng Phong, TP. Nam Định</t>
  </si>
  <si>
    <t>Sư phạm tiếng anh</t>
  </si>
  <si>
    <t>1.4.9</t>
  </si>
  <si>
    <t>Nguyễn Thị Thương Huế</t>
  </si>
  <si>
    <t>14/10/2001</t>
  </si>
  <si>
    <t>Đội 10 Trực Liêm, xã Liêm Hải, huyện Trực Ninh, tỉnh Nam Định</t>
  </si>
  <si>
    <t>Kinh tế quốc tế</t>
  </si>
  <si>
    <t>1.4.10</t>
  </si>
  <si>
    <t>Nguyễn Thị Thắm</t>
  </si>
  <si>
    <t>15/2/1990</t>
  </si>
  <si>
    <t>Phường Liêm Chính, TP Phủ Lý</t>
  </si>
  <si>
    <t xml:space="preserve"> Cử nhân Hành chính học</t>
  </si>
  <si>
    <t>1.5</t>
  </si>
  <si>
    <t>Phòng Công nghệ - Chuyên ngành (10 người)</t>
  </si>
  <si>
    <t>1.5.1</t>
  </si>
  <si>
    <t>Đinh Xuân Trường</t>
  </si>
  <si>
    <t>02/01/1975</t>
  </si>
  <si>
    <t>SN 70, ngõ 2, đường Phạm Ngọc Thạch, phố Kim Đa, P. Ninh Khánh, TP. Hoa Lư</t>
  </si>
  <si>
    <t>Thạc sĩ, Chính sách khoa học và công nghệ</t>
  </si>
  <si>
    <t>1.5.2</t>
  </si>
  <si>
    <t>Vũ Đức Huy</t>
  </si>
  <si>
    <t>10/8/1978</t>
  </si>
  <si>
    <t>Phường Duy Minh, TX Duy Tiên</t>
  </si>
  <si>
    <t>Cử nhân Xã hội học</t>
  </si>
  <si>
    <t>1.5.3</t>
  </si>
  <si>
    <t>Nguyễn Thị Thu Hiền</t>
  </si>
  <si>
    <t>04/04/1981</t>
  </si>
  <si>
    <t>Khu Tái định cư Đò Quan, TP Nam Định</t>
  </si>
  <si>
    <t>Thạc sĩ, Quản trị kinh doanh</t>
  </si>
  <si>
    <t>1.5.4</t>
  </si>
  <si>
    <t>Đàm Thị Thanh</t>
  </si>
  <si>
    <t>06/11/1981</t>
  </si>
  <si>
    <t>Ninh Tiến, TP. Hoa Lư</t>
  </si>
  <si>
    <t>Thạc sĩ, Quản lý Khoa học và Công nghệ</t>
  </si>
  <si>
    <t>Quản trị Kinh doanh - Tiếng anh</t>
  </si>
  <si>
    <t>1.5.5</t>
  </si>
  <si>
    <t>Vũ Thị Thảo</t>
  </si>
  <si>
    <t>01/08/1986</t>
  </si>
  <si>
    <t>6/31/117 đường Phù Long, Phường Vị Xuyên, Thành phố Nam Định, Tỉnh Nam Định</t>
  </si>
  <si>
    <t xml:space="preserve">Thạc sĩ, Công nghệ thông tin </t>
  </si>
  <si>
    <t>1.5.6</t>
  </si>
  <si>
    <t>Phạm Tài Minh</t>
  </si>
  <si>
    <t>26/08/1991</t>
  </si>
  <si>
    <t>23N ô 19 phường Quang Trung thành phố Nam Định, tỉnh Nam Định</t>
  </si>
  <si>
    <t>Thạc sĩ, Công nghệ sinh học</t>
  </si>
  <si>
    <t>1.5.7</t>
  </si>
  <si>
    <t>Nguyễn Thị Mai Phương</t>
  </si>
  <si>
    <t>12/08/1982</t>
  </si>
  <si>
    <t>SN 43, ngõ 50, đường Lê Thái Tổ, 
Phố Tân Thịnh, P. Tân Thành, TP. Hoa Lư</t>
  </si>
  <si>
    <t>Thạc sĩ, Sinh học</t>
  </si>
  <si>
    <t>Sinh học</t>
  </si>
  <si>
    <t>1.5.8</t>
  </si>
  <si>
    <t>Nguyễn Ngọc Hà</t>
  </si>
  <si>
    <t>01/07/1984</t>
  </si>
  <si>
    <t>Số 110 đường Lưu Hữu Phước, TP Nam Định</t>
  </si>
  <si>
    <t>Kỹ thuật hóa học</t>
  </si>
  <si>
    <t>1.5.9</t>
  </si>
  <si>
    <t>Vũ Thị Phương Thảo</t>
  </si>
  <si>
    <t>25/02/1979</t>
  </si>
  <si>
    <t>Tổ 3, Phường Châu Cầu, TP Phủ Lý</t>
  </si>
  <si>
    <t>Cử nhân Vật Lý</t>
  </si>
  <si>
    <t>1.5.10</t>
  </si>
  <si>
    <t>Nguyễn Văn Trung</t>
  </si>
  <si>
    <t>20/06/1982</t>
  </si>
  <si>
    <t>38 Nguyễn Chí Thanh, TP Nam Định</t>
  </si>
  <si>
    <t>Thạc sĩ, Quản lý khoa học công nghệ</t>
  </si>
  <si>
    <t>Điện khí hóa và cung cấp điện</t>
  </si>
  <si>
    <t>1.6</t>
  </si>
  <si>
    <t>1.6.1</t>
  </si>
  <si>
    <t>Nguyễn Mạnh Khuyến</t>
  </si>
  <si>
    <t>16/4/1980</t>
  </si>
  <si>
    <t>Số 83H đường Phù Nghĩa, P. Quang Trung, TP. Nam Định, tỉnh Nam Định</t>
  </si>
  <si>
    <t>1. Đại học, Quản trị kinh doanh;  2. Đại học, Công nghệ thông tin</t>
  </si>
  <si>
    <t>1.6.2</t>
  </si>
  <si>
    <t>1.6.3</t>
  </si>
  <si>
    <t>Nguyễn Thành Trung</t>
  </si>
  <si>
    <t>01/02/1978</t>
  </si>
  <si>
    <t>CL7-02 Khu Đô thị Dệt may, P. Cửa Bắc, TP. Nam Định, tỉnh Nam Định</t>
  </si>
  <si>
    <t>Tin học quản lý</t>
  </si>
  <si>
    <t>1.6.4</t>
  </si>
  <si>
    <t>Nguyễn Tiến Dũng</t>
  </si>
  <si>
    <t>13/04/1978</t>
  </si>
  <si>
    <t>Phường Ninh Khánh, TP. Hoa Lư</t>
  </si>
  <si>
    <t>Thạc sĩ, Công nghệ thông tin</t>
  </si>
  <si>
    <t>1.6.5</t>
  </si>
  <si>
    <t>Nguyễn Anh Văn</t>
  </si>
  <si>
    <t>23/3/1982</t>
  </si>
  <si>
    <t>Thành phố Tam Điệp, tỉnh Ninh Bình</t>
  </si>
  <si>
    <t>Vô tuyến điện và thông tin liên lạc</t>
  </si>
  <si>
    <t>1.6.6</t>
  </si>
  <si>
    <t>Đinh Đình Hiếu</t>
  </si>
  <si>
    <t>07/8/1990</t>
  </si>
  <si>
    <t>Huyện Yên Khánh, tỉnh Ninh Bình</t>
  </si>
  <si>
    <t>Công nghệ kỹ thuật điện tử - viễn thông</t>
  </si>
  <si>
    <t>1.6.7</t>
  </si>
  <si>
    <t>Lâm Việt Thắng</t>
  </si>
  <si>
    <t>13/07/1986</t>
  </si>
  <si>
    <t>Phường Tân Thành, TP. Hoa Lư</t>
  </si>
  <si>
    <t>Thạc sĩ, Khoa học máy tính</t>
  </si>
  <si>
    <t>1.6.8</t>
  </si>
  <si>
    <t>Trịnh Đình Hoàn</t>
  </si>
  <si>
    <t>05/9/1980</t>
  </si>
  <si>
    <t>Phường Ninh Sơn, TP. Hoa Lư</t>
  </si>
  <si>
    <t>1.6.9</t>
  </si>
  <si>
    <t>Trần Văn Thưởng</t>
  </si>
  <si>
    <t>25/3/1981</t>
  </si>
  <si>
    <t>2B/183/703, đường Trường Chinh, phường Quang Trung, Tp Nam Định</t>
  </si>
  <si>
    <t>1.6.10</t>
  </si>
  <si>
    <t>Phạm Văn An</t>
  </si>
  <si>
    <t>22/3/1988</t>
  </si>
  <si>
    <t>Thôn Đa Mễ, phường Mỹ Lộc, tỉnh Nam Định</t>
  </si>
  <si>
    <t>Kỹ thuật điện tử viễn thông</t>
  </si>
  <si>
    <t>1.6.11</t>
  </si>
  <si>
    <t>Nguyễn Thị Thuỳ An</t>
  </si>
  <si>
    <t>30/01/1988</t>
  </si>
  <si>
    <t>Số 43/56 Đoàn Trần Nghiệp, P. Cửa Bắc, TP. Nam Định, tỉnh Nam Định</t>
  </si>
  <si>
    <t>1.6.12</t>
  </si>
  <si>
    <t>Lê Đình Nghĩa</t>
  </si>
  <si>
    <t>16/12/2001</t>
  </si>
  <si>
    <t>Phường Trần Hưng Đạo, Phủ Lý, Hà Nam</t>
  </si>
  <si>
    <t>Nguyễn Mỹ Hạnh</t>
  </si>
  <si>
    <t>22/3/1996</t>
  </si>
  <si>
    <t>304 Hùng Vương, phường Vị Xuyên,TP Nam Định</t>
  </si>
  <si>
    <t>1.7</t>
  </si>
  <si>
    <t>Phòng Hạ tầng Khoa học Công nghệ - Thông tin (05 người)</t>
  </si>
  <si>
    <t>1.7.1</t>
  </si>
  <si>
    <t>Lê Tuấn Lực</t>
  </si>
  <si>
    <t>07/02/1979</t>
  </si>
  <si>
    <t>số nhà 55, Đường Thượng Lỗi, P. Lộc Vượng, TP. Nam Định, tỉnh Nam Định</t>
  </si>
  <si>
    <t>Thạc sĩ Quản trị kinh doanh</t>
  </si>
  <si>
    <t>1.7.2</t>
  </si>
  <si>
    <t>Trần Công Dân</t>
  </si>
  <si>
    <t>06/09/1976</t>
  </si>
  <si>
    <t>SN 24, ngõ 10, đường Trần Phú, Phố 13, phường Vân Giang, TP. Hoa Lư</t>
  </si>
  <si>
    <t xml:space="preserve"> Luật kinh tế</t>
  </si>
  <si>
    <t>1.7.3</t>
  </si>
  <si>
    <t>Nguyễn Viết Tuấn</t>
  </si>
  <si>
    <t>13/04/1989</t>
  </si>
  <si>
    <t>số 83 đường thái bình, TP Nam Định</t>
  </si>
  <si>
    <t>Thạc sĩ, Kỹ thuật điều khiển và tự động hóa</t>
  </si>
  <si>
    <t>Công nghệ tự động</t>
  </si>
  <si>
    <t>1.7.4</t>
  </si>
  <si>
    <t>Phạm Ngọc Chung</t>
  </si>
  <si>
    <t>04/04/1987</t>
  </si>
  <si>
    <t>Số 16, ngách 02, ngõ 488, đường Nguyễn Công Chứ, phố Thanh Bình, P. Ninh Sơn, TP. Hoa Lư</t>
  </si>
  <si>
    <t>Kỹ thuật điều khiển và tự động hóa</t>
  </si>
  <si>
    <t>Kỹ thuật điện</t>
  </si>
  <si>
    <t>1.7.5</t>
  </si>
  <si>
    <t>Nguyễn Thị Thanh Huyền</t>
  </si>
  <si>
    <t>27/04/1978</t>
  </si>
  <si>
    <t>Số 3/571 đường Trần Nhân Tông, phường Vị Xuyên, Thành phố Nam Định</t>
  </si>
  <si>
    <t>1.8</t>
  </si>
  <si>
    <t>1.8.1</t>
  </si>
  <si>
    <t>Trần Thị Hồng Hạnh</t>
  </si>
  <si>
    <t>23/4/1981</t>
  </si>
  <si>
    <t>Văn học</t>
  </si>
  <si>
    <t>1.8.2</t>
  </si>
  <si>
    <t>Trần Đình Biên</t>
  </si>
  <si>
    <t>26/12/1982</t>
  </si>
  <si>
    <t>Phường Tân Tựu, TX Kim Bảng</t>
  </si>
  <si>
    <t>Thạc sỹ biến đổi khí hậu</t>
  </si>
  <si>
    <t>1.8.3</t>
  </si>
  <si>
    <t>Đỗ Thị Thủy</t>
  </si>
  <si>
    <t>01/01/1982</t>
  </si>
  <si>
    <t>3/19 Gốc Mít, TP Nam Định</t>
  </si>
  <si>
    <t>Trồng trọt</t>
  </si>
  <si>
    <t>1.8.4</t>
  </si>
  <si>
    <t>Lưu Mạnh Hùng</t>
  </si>
  <si>
    <t>21/01/1983</t>
  </si>
  <si>
    <t>128 đường Trần Khánh Dư, Phường Lộc Vượng, TP Nam Định, tỉnh Nam Định</t>
  </si>
  <si>
    <t>Thạc sĩ, Quản lý công nghệ thông tin</t>
  </si>
  <si>
    <t>Quản lý công nghệ thông tin</t>
  </si>
  <si>
    <t>1.8.5</t>
  </si>
  <si>
    <t>Đoàn Mạnh Chất</t>
  </si>
  <si>
    <t>07/02/1977</t>
  </si>
  <si>
    <t>Tổ dân phố số 16, huyện Nam trực</t>
  </si>
  <si>
    <t>Thạc sĩ, Khoa học môi trường</t>
  </si>
  <si>
    <t>Hóa học</t>
  </si>
  <si>
    <t>1.8.6</t>
  </si>
  <si>
    <t>Phạm Thúy Anh</t>
  </si>
  <si>
    <t>05/02/1991</t>
  </si>
  <si>
    <t>31H, Ô 17, Phường Hạ Long, TP Nam Định</t>
  </si>
  <si>
    <t>Thạc sĩ, Kinh tế</t>
  </si>
  <si>
    <t>Kinh tế</t>
  </si>
  <si>
    <t>Trần Thị Mỹ Linh</t>
  </si>
  <si>
    <t>19/10/1996</t>
  </si>
  <si>
    <t>Thị trấn Bình Mỹ, huyện Bình Lục</t>
  </si>
  <si>
    <t>Thạc sỹ Luật dân sự và tố tụng dân sự</t>
  </si>
  <si>
    <t xml:space="preserve">Luật </t>
  </si>
  <si>
    <t>Nguyễn Thị Hằng</t>
  </si>
  <si>
    <t>22/7/1978</t>
  </si>
  <si>
    <t>Tổ 12C, Phường Châu Cầu, TP Phủ Lý</t>
  </si>
  <si>
    <t>Báo chí</t>
  </si>
  <si>
    <t>Chi cục Tiêu chuẩn Đo lường Chất lượng (17 người)</t>
  </si>
  <si>
    <t>2.1</t>
  </si>
  <si>
    <t>Vũ Quốc Đạt</t>
  </si>
  <si>
    <t>23/02/1979</t>
  </si>
  <si>
    <t>Số 276 đường Đặng Đoàn Bằng phường thống nhất tp Nam Định</t>
  </si>
  <si>
    <t>1. Thạc sĩ Địa lý học
2. Tiến sĩ Địa lý học</t>
  </si>
  <si>
    <t>Địa lý tự nhiên</t>
  </si>
  <si>
    <t>2.2</t>
  </si>
  <si>
    <t>Phạm Thanh Trường</t>
  </si>
  <si>
    <t>29/11/1976</t>
  </si>
  <si>
    <t>3/4 Trịnh Đình Thảo, TP Nam Định</t>
  </si>
  <si>
    <t xml:space="preserve"> Thạc sĩ, Quản trị kinh doanh</t>
  </si>
  <si>
    <t xml:space="preserve"> Quản trị kinh doanh</t>
  </si>
  <si>
    <t>2.3</t>
  </si>
  <si>
    <t>Trịnh Đình Thể</t>
  </si>
  <si>
    <t>03/10/1981</t>
  </si>
  <si>
    <t>Cơ điện nông thôn</t>
  </si>
  <si>
    <t>2.5</t>
  </si>
  <si>
    <t>Phạm Anh Tuấn</t>
  </si>
  <si>
    <t>7/9/1971</t>
  </si>
  <si>
    <t>Phường Châu Cầu, TP Phủ Lý</t>
  </si>
  <si>
    <t>2.6</t>
  </si>
  <si>
    <t>Nguyễn Thị Tuyến</t>
  </si>
  <si>
    <t>08/03/1976</t>
  </si>
  <si>
    <t>SN 14, ngách 8/77, đường Trương Hán Siêu, phố Phúc Hòa, P. Phúc Thành, TP. Hoa Lư</t>
  </si>
  <si>
    <t>2.7</t>
  </si>
  <si>
    <t>Hà Trang Nhung</t>
  </si>
  <si>
    <t>04/07/1981</t>
  </si>
  <si>
    <t>SN 22, đường Ngô Gia Tự, phố Thúy Sơn, P. Thanh Bình, TP. Hoa Lư</t>
  </si>
  <si>
    <t>2.8</t>
  </si>
  <si>
    <t>Phạm Sao</t>
  </si>
  <si>
    <t>13/05/1981</t>
  </si>
  <si>
    <t>SN 56, ngõ 22, đường Phạm Hồng Thái, P. Vân Giang, TP. Hoa Lư</t>
  </si>
  <si>
    <t>2.9</t>
  </si>
  <si>
    <t>Bùi Thị Thiên Nga</t>
  </si>
  <si>
    <t>01/06/1989</t>
  </si>
  <si>
    <t>SN 13, ngõ 6, đường Đinh Tất Miễn, P. Tân Thành, TP. Hoa Lư</t>
  </si>
  <si>
    <t>2.10</t>
  </si>
  <si>
    <t>Nguyễn Thị Hoa</t>
  </si>
  <si>
    <t>19/12/1979</t>
  </si>
  <si>
    <t>Tổ 3b, Phường Châu Cầu, TP Phủ Lý</t>
  </si>
  <si>
    <t>2.11</t>
  </si>
  <si>
    <t>Đỗ Mạnh Quang</t>
  </si>
  <si>
    <t>01/03/1982</t>
  </si>
  <si>
    <t>Số nhà 14/18 đường Thái Bình</t>
  </si>
  <si>
    <t>Lâm nghiệp</t>
  </si>
  <si>
    <t>2.12</t>
  </si>
  <si>
    <t>Trần Duy Hậu</t>
  </si>
  <si>
    <t>01/11/1984</t>
  </si>
  <si>
    <t>Xóm Lộc, TP Nam Định</t>
  </si>
  <si>
    <t>Công trình thủy lợi</t>
  </si>
  <si>
    <t>2.13</t>
  </si>
  <si>
    <t>Đinh Thị Lan</t>
  </si>
  <si>
    <t>15/10/1989</t>
  </si>
  <si>
    <t>P. Ninh khánh, TP. Hoa Lư</t>
  </si>
  <si>
    <t>Khoa học cây trồng</t>
  </si>
  <si>
    <t>2.14</t>
  </si>
  <si>
    <t>Nguyễn Thị Minh Đức</t>
  </si>
  <si>
    <t>17/12/1984</t>
  </si>
  <si>
    <t>SN 22, ngõ 205A3, đường Nguyễn Văn Cừ, phố Chu Văn An, P. Nam Bình, TP. Hoa Lư</t>
  </si>
  <si>
    <t>Luật</t>
  </si>
  <si>
    <t>2.15</t>
  </si>
  <si>
    <t>Ngô Văn Nhương</t>
  </si>
  <si>
    <t>05/08/1985</t>
  </si>
  <si>
    <t>SN 177, đường Cát Linh, phố Tân Thịnh, phường Tân Thành, TP. Hoa Lư</t>
  </si>
  <si>
    <t>1. Tiến sĩ Lâm sinh
2. Thạc sĩ Lâm sinh</t>
  </si>
  <si>
    <t>Lâm sinh</t>
  </si>
  <si>
    <t>2.16</t>
  </si>
  <si>
    <t>Phạm Văn Thái</t>
  </si>
  <si>
    <t>20/07/1987</t>
  </si>
  <si>
    <t>xóm 15, xã Nam Hồng, tỉnh Nam Định</t>
  </si>
  <si>
    <t>Hàn</t>
  </si>
  <si>
    <t>2.17</t>
  </si>
  <si>
    <t>Đoàn Sỹ Hoàn</t>
  </si>
  <si>
    <t>17/03/1988</t>
  </si>
  <si>
    <t>Tổ dân phố số 5, xã Nam Trực</t>
  </si>
  <si>
    <t>Công nghệ kỹ thuật hóa học</t>
  </si>
  <si>
    <t>Nguyễn Văn Tuân</t>
  </si>
  <si>
    <t>16/6/1982</t>
  </si>
  <si>
    <t>Xóm 5, Thôn Chanh thôn Trung Đồng, xã Văn Xá, huyện Kim Bảng</t>
  </si>
  <si>
    <t>Công nghệ kỹ thuật cơ khí</t>
  </si>
  <si>
    <t>II</t>
  </si>
  <si>
    <t>VIÊN CHỨC</t>
  </si>
  <si>
    <t>Lê Ngọc Việt</t>
  </si>
  <si>
    <t>3/12/1979</t>
  </si>
  <si>
    <t>Phường Minh Khai, Phủ Lý, Hà Nam</t>
  </si>
  <si>
    <t>Thạc sỹ Quản trị
 kinh doanh</t>
  </si>
  <si>
    <t xml:space="preserve">Công nghệ thông tin; </t>
  </si>
  <si>
    <t>Trần Thị Lan</t>
  </si>
  <si>
    <t>Trần Hồng Nhung</t>
  </si>
  <si>
    <t>17/3/1981</t>
  </si>
  <si>
    <t xml:space="preserve">Thôn Phù Lão, Xã Kim Bình, TP Phủ Lý
</t>
  </si>
  <si>
    <t>Thạc sỹ Khoa học môi trường</t>
  </si>
  <si>
    <t>Trần Văn Lượng</t>
  </si>
  <si>
    <t>10/3/1985</t>
  </si>
  <si>
    <t>Vũ Bản, Bình Lục, Hà Nam</t>
  </si>
  <si>
    <t>Tin học ứng dụng</t>
  </si>
  <si>
    <t>Nguyễn Duy Việt</t>
  </si>
  <si>
    <t>Phường Nam Bình, TP Hoa Lư</t>
  </si>
  <si>
    <t>Thạc sĩ, Kỹ thuật 
điện tử</t>
  </si>
  <si>
    <t>Công nghệ
điện tử viễn thông</t>
  </si>
  <si>
    <t>Vũ Thị Thu Hà</t>
  </si>
  <si>
    <t>11/10/1992</t>
  </si>
  <si>
    <t>Gia Hưng, Gia Viễn, Ninh Bình</t>
  </si>
  <si>
    <t>Kỹ sư 
CNTT</t>
  </si>
  <si>
    <t>Nguyễn Thu Hương</t>
  </si>
  <si>
    <t>05/9/1991</t>
  </si>
  <si>
    <t>TT Vĩnh Trụ, Lý Nhân, Hà Nam</t>
  </si>
  <si>
    <t>Thạc sĩ, Công nghệ 
sinh học</t>
  </si>
  <si>
    <t>Công nghệ 
sinh học</t>
  </si>
  <si>
    <t>1.9</t>
  </si>
  <si>
    <t>Nguyễn Thị Minh Trâm</t>
  </si>
  <si>
    <t>05/8/1987</t>
  </si>
  <si>
    <t>Phường Ninh Khánh, TP Hoa Lư</t>
  </si>
  <si>
    <t>Công nghệ 
sinh học nông nghiệp</t>
  </si>
  <si>
    <t>1.11</t>
  </si>
  <si>
    <t>Nguyễn Khoa Đăng</t>
  </si>
  <si>
    <t>19/7/1988</t>
  </si>
  <si>
    <t>1.12</t>
  </si>
  <si>
    <t>Trần Thị Thu Phương</t>
  </si>
  <si>
    <t>04/01/1978</t>
  </si>
  <si>
    <t>Phường Châu Sơn,
 TP Phủ Lý</t>
  </si>
  <si>
    <t>1.13</t>
  </si>
  <si>
    <t>Lê Hồng Văn</t>
  </si>
  <si>
    <t>10/10/2000</t>
  </si>
  <si>
    <t>Tổ dân phố Trần Phú, Phường Châu Sơn, TP Phủ Lý</t>
  </si>
  <si>
    <t>Điện công nghiệp và dân dụng</t>
  </si>
  <si>
    <t>1.14</t>
  </si>
  <si>
    <t>Nguyễn Trọng Hùng</t>
  </si>
  <si>
    <t>Phố Lê Lợi, phường Nam Bình, TP Hoa Lư</t>
  </si>
  <si>
    <t>Thạc sĩ,
Kỹ thuật cơ khí</t>
  </si>
  <si>
    <t>Công nghệ
chế tạo máy</t>
  </si>
  <si>
    <t>1.15</t>
  </si>
  <si>
    <t>Chu Văn Lâm</t>
  </si>
  <si>
    <t>15/03/1985</t>
  </si>
  <si>
    <t>Phường Tân Thành, TP Hoa Lư</t>
  </si>
  <si>
    <t>Quản trị
kinh doanh</t>
  </si>
  <si>
    <t>1.17</t>
  </si>
  <si>
    <t>Đào Thị Chính</t>
  </si>
  <si>
    <t>15/10/1988</t>
  </si>
  <si>
    <t>Cử nhân công tác xã hội</t>
  </si>
  <si>
    <t>1.18</t>
  </si>
  <si>
    <t>Trần Thùy Linh</t>
  </si>
  <si>
    <t>04/3/1990</t>
  </si>
  <si>
    <t>Phường Lam Hạ, 
TP Phủ Lý</t>
  </si>
  <si>
    <t>Tài chính - ngân hàng</t>
  </si>
  <si>
    <t>1.19</t>
  </si>
  <si>
    <t>Trần Đình Nam</t>
  </si>
  <si>
    <t>16/12/1992</t>
  </si>
  <si>
    <t>Phường Vân Giang, TP Hoa Lư</t>
  </si>
  <si>
    <t>ThS. Quản trị kinh doanh</t>
  </si>
  <si>
    <t>1.20</t>
  </si>
  <si>
    <t>Nguyễn Ngọc Quý</t>
  </si>
  <si>
    <t>13/10/1983</t>
  </si>
  <si>
    <t>Cử nhân Công nghệ
 thông tin</t>
  </si>
  <si>
    <t>1.21</t>
  </si>
  <si>
    <t>Mai Vũ Hoàng Giang</t>
  </si>
  <si>
    <t>Công nghệ sau thu hoạch</t>
  </si>
  <si>
    <t>1.22</t>
  </si>
  <si>
    <t>Cao Hùng Phương</t>
  </si>
  <si>
    <t>08/02/1983</t>
  </si>
  <si>
    <t>Số 6 A Phan Kế Bính, TP Nam Định</t>
  </si>
  <si>
    <t>1.23</t>
  </si>
  <si>
    <t>Hoàng Thị Thu Trang</t>
  </si>
  <si>
    <t>15/12/1987</t>
  </si>
  <si>
    <t>9/7 Trần Hưng Đạo, TP Nam Định</t>
  </si>
  <si>
    <t>Thạc sĩ, Tài chính - ngân hàng</t>
  </si>
  <si>
    <t>1.25</t>
  </si>
  <si>
    <t>Nguyễn Thu Trang</t>
  </si>
  <si>
    <t>21/12/1990</t>
  </si>
  <si>
    <t>4F/109 Phù Nghĩa, TP Nam Định</t>
  </si>
  <si>
    <t>01/01/1979</t>
  </si>
  <si>
    <t>Số nhà 32 ngõ 681 Trần Nhân Tông, TP Nam Định</t>
  </si>
  <si>
    <t>Hoàng Thị Thanh Hải</t>
  </si>
  <si>
    <t>02/02/1986</t>
  </si>
  <si>
    <t>116 đường Lê Hồng Phong, phường Phan Đình Phùng, TP Nam Định</t>
  </si>
  <si>
    <t>Vũ Thị Thanh Vân</t>
  </si>
  <si>
    <t>17/06/1979</t>
  </si>
  <si>
    <t>36A Ô 17 Phường Hạ Long, Thành phố Nam Định, Tỉnh Nam Định</t>
  </si>
  <si>
    <t>Công nghệ kỹ thuật chế biến cồn, rượu, bia và nước giải khát</t>
  </si>
  <si>
    <t>Hoàng Thị Phương Loan</t>
  </si>
  <si>
    <t>03/6/1993</t>
  </si>
  <si>
    <t>Xã Yên Khang, Ý Yên, Nam Định</t>
  </si>
  <si>
    <t>10/8/1976</t>
  </si>
  <si>
    <t>Phường Ninh Khánh, thành phố Hoa Lư, Ninh Bình</t>
  </si>
  <si>
    <t>Thạc sĩ, Quản lý Kinh tế</t>
  </si>
  <si>
    <t>Kỹ thuật điện tử</t>
  </si>
  <si>
    <t>Trần Đăng Thuận</t>
  </si>
  <si>
    <t>06/09/1978</t>
  </si>
  <si>
    <t>570 Đường Giải Phóng, TP Nam Định</t>
  </si>
  <si>
    <t>Thạc sĩ, Kỹ thuật điện tử</t>
  </si>
  <si>
    <t>Điện tử viễn thông</t>
  </si>
  <si>
    <t>Phạm Quốc Sơn</t>
  </si>
  <si>
    <t>28/7/1981</t>
  </si>
  <si>
    <t>Phường Ninh Mỹ, TP Hoa Lư, Ninh Bình</t>
  </si>
  <si>
    <t>Tin học</t>
  </si>
  <si>
    <t>2.4</t>
  </si>
  <si>
    <t>Hà Xuân Trường</t>
  </si>
  <si>
    <t>24/4/1982</t>
  </si>
  <si>
    <t>Phường Vân Giang, thành phố Hoa Lư, Ninh Bình</t>
  </si>
  <si>
    <t>Đào Thị Hải Hà</t>
  </si>
  <si>
    <t>12/10/1985</t>
  </si>
  <si>
    <t>Phường Đông Thành, thành phố Hoa Lư, Ninh Bình</t>
  </si>
  <si>
    <t>Đinh Thị Hồng Vân</t>
  </si>
  <si>
    <t>27/10/1979</t>
  </si>
  <si>
    <t>Xã Ninh Khang, thành phố Hoa Lư, Ninh Bình</t>
  </si>
  <si>
    <t>Đinh Thị Mão</t>
  </si>
  <si>
    <t>19/11/1988</t>
  </si>
  <si>
    <t>Xã Hồng Quang, Huyện Ý Yên, tỉnh Nam Định</t>
  </si>
  <si>
    <t>Vũ Trí Lượng</t>
  </si>
  <si>
    <t>07/8/1986</t>
  </si>
  <si>
    <t>Phường Trung Sơn, TP Tam Điệp, Ninh Bình</t>
  </si>
  <si>
    <t>Nguyễn Thị Mai Trang</t>
  </si>
  <si>
    <t>16/10/1990</t>
  </si>
  <si>
    <t>Phường Vân Giang, TP Hoa Lư, Ninh Bình</t>
  </si>
  <si>
    <t>Vũ Thu Trang</t>
  </si>
  <si>
    <t>04/8/1990</t>
  </si>
  <si>
    <t>Phường Ninh Mỹ, thành phố Hoa Lư, Ninh Bình</t>
  </si>
  <si>
    <t xml:space="preserve">Công nghệ kỹ thuật điện, điện tử </t>
  </si>
  <si>
    <t>Nguyễn Thị Thanh Hường</t>
  </si>
  <si>
    <t>21/8/1976</t>
  </si>
  <si>
    <t>Thạc sĩ, Hệ thống
 thông tin</t>
  </si>
  <si>
    <t>Bùi Thị Ninh</t>
  </si>
  <si>
    <t>08/3/1992</t>
  </si>
  <si>
    <t>TT Yên Thịnh, Yên Mô, Ninh Bình</t>
  </si>
  <si>
    <t>Kinh doanh thương mại</t>
  </si>
  <si>
    <t>Phường Nam Thành, thành phố Hoa Lư, Ninh Bình</t>
  </si>
  <si>
    <t>Bùi Thị Hồng Nhung</t>
  </si>
  <si>
    <t>05/10/1988</t>
  </si>
  <si>
    <t>Công tác xã hội</t>
  </si>
  <si>
    <t>Lê Minh Vương</t>
  </si>
  <si>
    <t>21/02/1995</t>
  </si>
  <si>
    <t>Yên Lâm, Yên Mô, Ninh Bình</t>
  </si>
  <si>
    <t>Hà Quốc Khánh</t>
  </si>
  <si>
    <t>02/9/1983</t>
  </si>
  <si>
    <t>Phạm Duy Thắng</t>
  </si>
  <si>
    <t>05/10/1989</t>
  </si>
  <si>
    <t>Phường Tân Thành, thành phố Hoa Lư, Ninh Bình</t>
  </si>
  <si>
    <t>Điện tử - Viễn thông</t>
  </si>
  <si>
    <t>Lại Ngọc Mai</t>
  </si>
  <si>
    <t>04/12/1987</t>
  </si>
  <si>
    <t>Bùi Trí Thành</t>
  </si>
  <si>
    <t>01/4/1996</t>
  </si>
  <si>
    <t>Trần Thị Duyên</t>
  </si>
  <si>
    <t>05/12/1983</t>
  </si>
  <si>
    <t>Nguyễn Ngọc Thành</t>
  </si>
  <si>
    <t>18/9/1982</t>
  </si>
  <si>
    <t>Đỗ Tuấn Anh</t>
  </si>
  <si>
    <t>31/3/1983</t>
  </si>
  <si>
    <t>Đoàn Duy Tùng</t>
  </si>
  <si>
    <t>19/01/1997</t>
  </si>
  <si>
    <t>Xã Ninh Tiến, TP Hoa Lư, Ninh Bình</t>
  </si>
  <si>
    <t>Công tác thanh thiếu niên</t>
  </si>
  <si>
    <t>Tống Quốc Dũng</t>
  </si>
  <si>
    <t>11/11/1995</t>
  </si>
  <si>
    <t>Phạm Minh Tuân</t>
  </si>
  <si>
    <t>20/6/1987</t>
  </si>
  <si>
    <t xml:space="preserve">Phường Nam Thành, thành phố Hoa Lư, Ninh Bình </t>
  </si>
  <si>
    <t>Nguyễn Thành Long</t>
  </si>
  <si>
    <t>07/12/1987</t>
  </si>
  <si>
    <t>Hoàng Vũ Đức</t>
  </si>
  <si>
    <t>29/10/1982</t>
  </si>
  <si>
    <t>26/79 đường Lộc Vượng, phường Lộc Vượng, thành phố Nam Định</t>
  </si>
  <si>
    <t>Thạc sĩ, Công nghệ kỹ thuật điện tử - viễn thông</t>
  </si>
  <si>
    <t>1. Đại học Công nghệ kỹ thuật điện tử - viễn thông; 
2. Đại học Luật Kinh tế</t>
  </si>
  <si>
    <t>Ngô Ngọc Anh</t>
  </si>
  <si>
    <t>07/11/1990</t>
  </si>
  <si>
    <t>Số 10 - Trần Anh Tông, TP Nam Định</t>
  </si>
  <si>
    <t>Công nghệ kỹ thuật điện tử</t>
  </si>
  <si>
    <t>Nguyễn Quang Vinh</t>
  </si>
  <si>
    <t>Số 304 Hùng Vương, phường Vị Xuyên, thành phố Nam Định, tỉnh Nam Định</t>
  </si>
  <si>
    <t xml:space="preserve"> Công nghệ thông tin</t>
  </si>
  <si>
    <t>Trương Thị Hoài Thu</t>
  </si>
  <si>
    <t>28/09/1982</t>
  </si>
  <si>
    <t>14/148 Đường Kênh, TP Nam Định</t>
  </si>
  <si>
    <t xml:space="preserve"> công nghệ thông tin</t>
  </si>
  <si>
    <t>Bùi Tư Thức</t>
  </si>
  <si>
    <t>29/10/1998</t>
  </si>
  <si>
    <t>26 lý tự trọng, TP Nam Định</t>
  </si>
  <si>
    <t>Lê Quang Lâm</t>
  </si>
  <si>
    <t>18/06/1999</t>
  </si>
  <si>
    <t>Số 9 Nguyên Hồng, TP Nam Định</t>
  </si>
  <si>
    <t>Nguyễn Quang Khải</t>
  </si>
  <si>
    <t>11/12/2000</t>
  </si>
  <si>
    <t>117 Đường Thái Bình, TP Nam Định</t>
  </si>
  <si>
    <t>Phan Thị Giang</t>
  </si>
  <si>
    <t>11/19/1984</t>
  </si>
  <si>
    <t>86 Đặng Thai Mai, xã Lộc An, TP. Nam Định, tỉnh Nam Định</t>
  </si>
  <si>
    <t>Vũ Văn Định</t>
  </si>
  <si>
    <t>5/25/1989</t>
  </si>
  <si>
    <t>Xóm 30 thôn Trung, xã Nam Điền, huyện Nam Trực, tỉnh Nam Định</t>
  </si>
  <si>
    <t>Bùi Thị Tuyết Thanh</t>
  </si>
  <si>
    <t>30/11/1999</t>
  </si>
  <si>
    <t>Xã Liêm Sơn, Thanh Liêm,</t>
  </si>
  <si>
    <t>Kỹ sư ngành Công nghệ
 thông tin</t>
  </si>
  <si>
    <t>Lê Hữu Có</t>
  </si>
  <si>
    <t>30/1/1986</t>
  </si>
  <si>
    <t>Tổ dân phố Tam Giáp, Phường Duy Hải, Duy Tiên, Hà Nam</t>
  </si>
  <si>
    <t>Kỹ sư ngành Điện tử 
Viễn thông</t>
  </si>
  <si>
    <t>Trần Thanh Hoạt</t>
  </si>
  <si>
    <t>20/5/1996</t>
  </si>
  <si>
    <t>Công nghệ 
Kỹ thuật Điện, Điện Tử</t>
  </si>
  <si>
    <t>Ngô Thị Thu Thanh</t>
  </si>
  <si>
    <t>29/9/1981</t>
  </si>
  <si>
    <t>Xã Liêm Túc, huyện Thanh Liêm,</t>
  </si>
  <si>
    <t>Công nghệ
 thông tin</t>
  </si>
  <si>
    <t>Phạm Văn Tiến</t>
  </si>
  <si>
    <t>26/3/1986</t>
  </si>
  <si>
    <t>Phường Châu Cầu, 
TP Phủ Lý</t>
  </si>
  <si>
    <t>Công nghệ Điện tử - Viễn thông</t>
  </si>
  <si>
    <t>Nguyễn Anh Tuấn</t>
  </si>
  <si>
    <t>14/2/1985</t>
  </si>
  <si>
    <t>Phường Châu Cầu,
TP Phủ Lý</t>
  </si>
  <si>
    <t xml:space="preserve"> Công 
nghệ thông tin</t>
  </si>
  <si>
    <t>Lê Minh Phương</t>
  </si>
  <si>
    <t>15/12/1998</t>
  </si>
  <si>
    <t xml:space="preserve"> Nguyễn Văn Trỗi, Phủ Lý, Hà Nam</t>
  </si>
  <si>
    <t xml:space="preserve"> Báo chí</t>
  </si>
  <si>
    <t>Đào Thị Tuyền</t>
  </si>
  <si>
    <t>Đình Tràng, Lam hạ, Phủ Lý, Hà Nam</t>
  </si>
  <si>
    <t>Vũ Thị Hồng Nhật</t>
  </si>
  <si>
    <t>20/10/1980</t>
  </si>
  <si>
    <t>Trung tâm Đo lường - Thử nghiệm (17 người)</t>
  </si>
  <si>
    <t>3.1</t>
  </si>
  <si>
    <t>Đinh Sỹ Dũng</t>
  </si>
  <si>
    <t>25/12/1982</t>
  </si>
  <si>
    <t>Phố Tân An
Phường Tân Thành, TP Hoa Lư</t>
  </si>
  <si>
    <t>Thạc sĩ, Nông nghiệp</t>
  </si>
  <si>
    <t>Chăn nuôi 
thú y</t>
  </si>
  <si>
    <t>3.2</t>
  </si>
  <si>
    <t>Hoàng Mạnh Cường</t>
  </si>
  <si>
    <t>07/09/1980</t>
  </si>
  <si>
    <t>Tổ dân phố Bến Mai Xá, TP Nam Định</t>
  </si>
  <si>
    <t>Thạc sĩ, Nông học</t>
  </si>
  <si>
    <t>Bảo vệ thực vật</t>
  </si>
  <si>
    <t>3.3</t>
  </si>
  <si>
    <t>Lê Huy Hoàng</t>
  </si>
  <si>
    <t>29/10/1990</t>
  </si>
  <si>
    <t>Thạc sĩ, Quản lý xây dựng</t>
  </si>
  <si>
    <t>Kỹ thuật công trình xây dựng</t>
  </si>
  <si>
    <t>3.4</t>
  </si>
  <si>
    <t>Hoàng Quang Tuấn</t>
  </si>
  <si>
    <t>14/01/1974</t>
  </si>
  <si>
    <t>4/189 đường Phù Long, TP Nam Đinh</t>
  </si>
  <si>
    <t>Kỹ thuật điện, điện tử và viễn thông</t>
  </si>
  <si>
    <t>3.5</t>
  </si>
  <si>
    <t>Vũ Thanh Quang</t>
  </si>
  <si>
    <t>12/02/1983</t>
  </si>
  <si>
    <t>62 đường Vấn Khẩu, TP Nam Định</t>
  </si>
  <si>
    <t>3.6</t>
  </si>
  <si>
    <t>Trần Trọng Bình</t>
  </si>
  <si>
    <t>27/03/1980</t>
  </si>
  <si>
    <t>Số 5/571 Trần Nhân Tông, Tp. Nam Định, tỉnh Nam Định</t>
  </si>
  <si>
    <t>3.7</t>
  </si>
  <si>
    <t>Trịnh Việt</t>
  </si>
  <si>
    <t>24/02/1976</t>
  </si>
  <si>
    <t>101 nhà 3 tầng số 17 Trần Huy Liệu, TP Nam Định</t>
  </si>
  <si>
    <t>Quản lý xã hội</t>
  </si>
  <si>
    <t>3.8</t>
  </si>
  <si>
    <t>Lại Tấn Dũng</t>
  </si>
  <si>
    <t>23/06/1984</t>
  </si>
  <si>
    <t>6/15 Ngô Gia Tự, Phường Thống Nhất, Tp Nam Định</t>
  </si>
  <si>
    <t>Công nghệ kỹ thuật điện, điện tử</t>
  </si>
  <si>
    <t>3.9</t>
  </si>
  <si>
    <t xml:space="preserve">Trịnh Văn Mạnh </t>
  </si>
  <si>
    <t>26/11/1977</t>
  </si>
  <si>
    <t xml:space="preserve">Phường Châu Cầu, 
TP Phủ Lý, </t>
  </si>
  <si>
    <t>3.10</t>
  </si>
  <si>
    <t>Phạm Thanh Tuấn</t>
  </si>
  <si>
    <t>04/8/1976</t>
  </si>
  <si>
    <t>Phường Quang Trung, 
TP Phủ Lý</t>
  </si>
  <si>
    <t>3.11</t>
  </si>
  <si>
    <t>Phạm Bá Nghĩa</t>
  </si>
  <si>
    <t>14/1/1972</t>
  </si>
  <si>
    <t xml:space="preserve"> Thanh Hài, Thanh Liêm
Hà Nam</t>
  </si>
  <si>
    <t>3.12</t>
  </si>
  <si>
    <t xml:space="preserve">Đỗ Thị Huệ </t>
  </si>
  <si>
    <t>11/11/1978</t>
  </si>
  <si>
    <t>Phường Liêm Chính,
 TP Phủ Lý</t>
  </si>
  <si>
    <t>3.13</t>
  </si>
  <si>
    <t>Nguyễn Quỳnh Nga</t>
  </si>
  <si>
    <t>25/11/1980</t>
  </si>
  <si>
    <t>Công nghệ
 điện tử viễn thông</t>
  </si>
  <si>
    <t>3.14</t>
  </si>
  <si>
    <t>13/7/1980</t>
  </si>
  <si>
    <t>Ninh Khang, Hoa Lư, Ninh Bình</t>
  </si>
  <si>
    <t>3.15</t>
  </si>
  <si>
    <t>Trần Việt Dũng</t>
  </si>
  <si>
    <t>28/11/1985</t>
  </si>
  <si>
    <t>Thạc sĩ, Kỹ thuật Trắc địa bản đồ</t>
  </si>
  <si>
    <t>Trắc địa</t>
  </si>
  <si>
    <t>3.16</t>
  </si>
  <si>
    <t>Phạm Thị Phương Liên</t>
  </si>
  <si>
    <t>08/8/1992</t>
  </si>
  <si>
    <t>3.17</t>
  </si>
  <si>
    <t>Đỗ Thị Gấm</t>
  </si>
  <si>
    <t>24/12/1982</t>
  </si>
  <si>
    <t>III</t>
  </si>
  <si>
    <t>HỢP ĐỒNG LAO ĐỘNG (HĐLĐ)</t>
  </si>
  <si>
    <t>Đinh Văn Triển</t>
  </si>
  <si>
    <t>19/4/1974</t>
  </si>
  <si>
    <t>23 Đặng Vũ Hỷ, phường Cửa Bắc, TP Nam Định</t>
  </si>
  <si>
    <t>Lái xe</t>
  </si>
  <si>
    <t>Trần Viết Huy</t>
  </si>
  <si>
    <t>12/7/1987</t>
  </si>
  <si>
    <t>247 đường kênh, phường Lộc Vượng, TP Nam Định</t>
  </si>
  <si>
    <t>An Hà Đông Đông</t>
  </si>
  <si>
    <t>02/01/1995</t>
  </si>
  <si>
    <t>Phạm Thị Kim Quy</t>
  </si>
  <si>
    <t>19/03/1984</t>
  </si>
  <si>
    <t>Xóm Trung Chính, thôn Tùy Hối, xã Gia Tân, H. Gia Viễn, tỉnh Ninh Bình</t>
  </si>
  <si>
    <t>CN. Luật kinh tế</t>
  </si>
  <si>
    <t>04/09/1987</t>
  </si>
  <si>
    <t>SN 80, đường Đinh Điền, P. Ninh Khánh, TP. Hoa Lư</t>
  </si>
  <si>
    <t>Hoàng Thị Giang</t>
  </si>
  <si>
    <t>08/09/1989</t>
  </si>
  <si>
    <t xml:space="preserve"> Phường Ninh Khánh, TP Hoa Lư</t>
  </si>
  <si>
    <t>Kế toán doanh nghiệp</t>
  </si>
  <si>
    <t>Trần Văn Thịnh</t>
  </si>
  <si>
    <t>01/4/1968</t>
  </si>
  <si>
    <t>xã Hải Đông, huyện Hải Hậu, tỉnh Nam Định</t>
  </si>
  <si>
    <t>Lê Cảnh Thạc</t>
  </si>
  <si>
    <t>14/4/1974</t>
  </si>
  <si>
    <t>xã Hải Vân, huyện Hải Hậu, tỉnh Nam Định</t>
  </si>
  <si>
    <t>Lê Mạnh Lương</t>
  </si>
  <si>
    <t>12/6/1976</t>
  </si>
  <si>
    <t>huyện Vụ Bản, tỉnh Nam Định</t>
  </si>
  <si>
    <t>Điện</t>
  </si>
  <si>
    <t>Lưu Mai Dung</t>
  </si>
  <si>
    <t>02/7/1974</t>
  </si>
  <si>
    <t>xã Tân Thịnh, Nam Trực, tỉnh Nam Định</t>
  </si>
  <si>
    <t>Trần Thị Bạch Thu</t>
  </si>
  <si>
    <t>8/3/1971</t>
  </si>
  <si>
    <t>Quang Trung, Phủ Lý, Hà Nam</t>
  </si>
  <si>
    <t>Đinh Thị Thúy Na</t>
  </si>
  <si>
    <t>01/10/1983</t>
  </si>
  <si>
    <t>Phố Phúc Ninh, phường Vân Giang, TP Hoa Lư</t>
  </si>
  <si>
    <t>Nguyễn Như Đạo</t>
  </si>
  <si>
    <t>26/10/1973</t>
  </si>
  <si>
    <t>Đại An, Vụ Bản, Nam Định</t>
  </si>
  <si>
    <t>Địa chất 
công trình</t>
  </si>
  <si>
    <t>10/10/1983</t>
  </si>
  <si>
    <t>Mỹ thuật</t>
  </si>
  <si>
    <t>Đỗ Ngọc Bích</t>
  </si>
  <si>
    <t>15/6/1983</t>
  </si>
  <si>
    <t>Phố Tân Thịnh, phường Tân Thành, TP Hoa Lư</t>
  </si>
  <si>
    <t>Kỹ sư điện</t>
  </si>
  <si>
    <t>Hoàng Trung Kiên</t>
  </si>
  <si>
    <t>02/8/1981</t>
  </si>
  <si>
    <t>Phố Kỳ Lân, phường Tân Thành, TP Hoa Lư</t>
  </si>
  <si>
    <t>Bùi Thị Hồng Thắm</t>
  </si>
  <si>
    <t>20/07/1982</t>
  </si>
  <si>
    <t>SN 50, ngõ 463, đường Lê Thái Tổ, phố Tuệ Tĩnh, P. Nam Thành, TP. Hoa Lư</t>
  </si>
  <si>
    <t>Ban giám đốc (06 người)</t>
  </si>
  <si>
    <t>1.10</t>
  </si>
  <si>
    <t>1.16</t>
  </si>
  <si>
    <t>1.24</t>
  </si>
  <si>
    <t xml:space="preserve">Biệt phái về công tác tại UBND phường Tam Chúc </t>
  </si>
  <si>
    <t>Biệt phái về công tác tại UBND phường Lê Hồ</t>
  </si>
  <si>
    <r>
      <t xml:space="preserve">Chức vụ, đơn vị công tác </t>
    </r>
    <r>
      <rPr>
        <i/>
        <sz val="11"/>
        <color theme="1"/>
        <rFont val="Times New Roman"/>
        <family val="1"/>
      </rPr>
      <t>(hiện tại)</t>
    </r>
  </si>
  <si>
    <t xml:space="preserve">Giám đốc Sở KH&amp;CN </t>
  </si>
  <si>
    <t>Phó giám đốc Sở KH&amp;CN</t>
  </si>
  <si>
    <t>Chánh Văn phòng Sở</t>
  </si>
  <si>
    <t>Phó Chánh Văn phòng Sở</t>
  </si>
  <si>
    <t>Chuyên viên, Văn phòng Sở</t>
  </si>
  <si>
    <t>Trưng tập, Văn phòng Sở</t>
  </si>
  <si>
    <t>Trưởng phòng</t>
  </si>
  <si>
    <t>Phó Trưởng phòng</t>
  </si>
  <si>
    <t>Phụ trách Kế toán Sở</t>
  </si>
  <si>
    <t>Kế toán viên Sở</t>
  </si>
  <si>
    <t>Chuyên viên</t>
  </si>
  <si>
    <t>Chi cục Trưởng</t>
  </si>
  <si>
    <t>Phó Chi cục Trưởng</t>
  </si>
  <si>
    <t>Phó trưởng phòng Hành chính và TBT</t>
  </si>
  <si>
    <t>Trưởng phòng Quản lý Tiêu chuẩn Chất lượng</t>
  </si>
  <si>
    <t>Phó trưởng phòng Quản lý Đo lường thuộc Chi cục Tiêu chuẩn, Đo lường và Chất lượng</t>
  </si>
  <si>
    <t>Trưởng phòng Đo lường, Tổng hợp thuộc Chi cục Tiêu chuẩn, Đo lường và Chất lượng</t>
  </si>
  <si>
    <t>Giám đốc</t>
  </si>
  <si>
    <t>Viên chức</t>
  </si>
  <si>
    <t>Phó Giám đốc</t>
  </si>
  <si>
    <t xml:space="preserve">Phó Trưởng phòng Hỗ trợ khởi nghiệp sáng tạo </t>
  </si>
  <si>
    <t>Phó trưởng phòng Đổi mới sáng tạo và
Hỗ trợ khởi nghiệp</t>
  </si>
  <si>
    <t>Chánh Văn phòng Trung tâm</t>
  </si>
  <si>
    <t>Phó trưởng phòng
Truyền thông Khoa học và Công nghệ</t>
  </si>
  <si>
    <t>Phó trưởng phòng
Hạ tầng - Nền tảng số</t>
  </si>
  <si>
    <t>Phó trưởng phòng Hạ tầng -
Nền tảng số</t>
  </si>
  <si>
    <t>Trưởng phòng Đo lường - Thử nghiệm</t>
  </si>
  <si>
    <t>Phó trưởng phòng Đo lường - Thử nghiệm</t>
  </si>
  <si>
    <t>Nhân viên hỗ trợ, phục vụ</t>
  </si>
  <si>
    <t>Nhân viên hỗ trợ, phục vụ Trung tâm Đo lường - Thử nghiệm</t>
  </si>
  <si>
    <t>Nhân viên chuyên môn nghiệp vụ, Chị cục Tiêu chuẩn - Đo lường - Chất lượng</t>
  </si>
  <si>
    <t>Dương Tiến Lực</t>
  </si>
  <si>
    <t>29/10/1972</t>
  </si>
  <si>
    <t>SN 15, Ngõ 39, Đường Hoàng Hoa Thám, Phố Bắc Sơn, Phường Hoa Lư, tỉnh Ninh Bình</t>
  </si>
  <si>
    <t>Nhân viên bảo vệ, Sở KH&amp;CN</t>
  </si>
  <si>
    <t>Trần Đức Huấn</t>
  </si>
  <si>
    <t>23/9/1979</t>
  </si>
  <si>
    <t>303 Hoàng Văn Thụ, Phường Nam Định, tỉnh Ninh Bình</t>
  </si>
  <si>
    <t>Lái xe Sở KH&amp;CN</t>
  </si>
  <si>
    <t>Lê Mạnh Hà</t>
  </si>
  <si>
    <t>Cù Ngọc Tiến</t>
  </si>
  <si>
    <t>Trịnh Thu Hiền</t>
  </si>
  <si>
    <t>Trịnh Thị Thu Nhàn</t>
  </si>
  <si>
    <t>Phố Thiên Sơn, Phường Hoa Lư, tỉnh Ninh Bình</t>
  </si>
  <si>
    <t>Dương Thị Minh Thu</t>
  </si>
  <si>
    <t>30/10/1972</t>
  </si>
  <si>
    <t xml:space="preserve">số nhà 36, đường Hoàng Diệu, phố Tây Sơn 1, phường Hoa Lư, tỉnh Ninh Bình. </t>
  </si>
  <si>
    <t>Nhân viên tạp vụ, Sở KH&amp;CN</t>
  </si>
  <si>
    <t>HỢP ĐỒNG LAO ĐỘNG (khác) (07 người)</t>
  </si>
  <si>
    <t>Phạm Hồng Điểm</t>
  </si>
  <si>
    <t>02/6/1987</t>
  </si>
  <si>
    <t>Cử nhân Kế toán</t>
  </si>
  <si>
    <t>Thạc sỹ Quản lý kinh tế</t>
  </si>
  <si>
    <t>1.3.9</t>
  </si>
  <si>
    <t>Phòng Kế hoạch - Tài chính (09 người)</t>
  </si>
  <si>
    <t>Phòng Chuyển đổi số (12 người)</t>
  </si>
  <si>
    <t>HĐLĐ thực hiện công việc hỗ trợ, phục vụ theo Nghị định số 111/2022/NĐ-CP (10 người) thuộc Trung tâm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</si>
  <si>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</si>
  <si>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</si>
  <si>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</si>
  <si>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</si>
  <si>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</si>
  <si>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</si>
  <si>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</si>
  <si>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</si>
  <si>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</si>
  <si>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</si>
  <si>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</si>
  <si>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</si>
  <si>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</si>
  <si>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</si>
  <si>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</si>
  <si>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</si>
  <si>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</si>
  <si>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</si>
  <si>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</si>
  <si>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</si>
  <si>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</si>
  <si>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</si>
  <si>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</si>
  <si>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</si>
  <si>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</si>
  <si>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</si>
  <si>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</si>
  <si>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</si>
  <si>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</si>
  <si>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</si>
  <si>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</si>
  <si>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</si>
  <si>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</si>
  <si>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</si>
  <si>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</si>
  <si>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</si>
  <si>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</si>
  <si>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</si>
  <si>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</si>
  <si>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</si>
  <si>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</si>
  <si>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Trung tâm Khoa học Công nghệ, Đổi mới sáng tạo và Chuyển đổi số (66 người)</t>
  </si>
  <si>
    <t>Nhân viên hỗ trợ, phục vụ Trung tâm Khoa học công nghệ, Đổi mới sáng tạo và Chuyển đổi số</t>
  </si>
  <si>
    <t>DANH SÁCH CÔNG CHỨC, VIÊN CHỨC VÀ HỢP ĐỒNG LAO ĐỘNG CÓ MẶT ĐẾN NAY</t>
  </si>
  <si>
    <t>HĐLĐ thực hiện công việc hỗ trợ, phục vụ theo Nghị định số 111/2022/NĐ-CP (01 người) thuộc Chi cục TĐC</t>
  </si>
  <si>
    <t>HĐLĐ thực hiện công việc hỗ trợ, phục vụ theo Nghị định số 111/2022/NĐ-CP (06 người) thuộc Văn phòng Sở</t>
  </si>
  <si>
    <t>4.1</t>
  </si>
  <si>
    <t>4.2</t>
  </si>
  <si>
    <t>4.3</t>
  </si>
  <si>
    <t>4.4</t>
  </si>
  <si>
    <t>4.5</t>
  </si>
  <si>
    <t>4.6</t>
  </si>
  <si>
    <t>Viên chức (Trưng tập lên Văn phòng Sở)</t>
  </si>
  <si>
    <t>DANH SÁCH CÔNG CHỨC, VIÊN CHỨC VÀ HỢP ĐỒNG LAO ĐỘNG CÓ MẶT TẠI THỜI ĐIỂM NGÀY 01/7/2025</t>
  </si>
  <si>
    <r>
      <t xml:space="preserve">Chức vụ, đơn vị công tác </t>
    </r>
    <r>
      <rPr>
        <i/>
        <sz val="11"/>
        <color theme="1"/>
        <rFont val="Times New Roman"/>
        <family val="1"/>
      </rPr>
      <t>(trước khi sắp xếp 
đơn vị hành chính)</t>
    </r>
  </si>
  <si>
    <t>Chánh Văn phòng Sở KH&amp;CN Nam Định</t>
  </si>
  <si>
    <t>Thạc sĩ, Quản lý khoa học
 và công nghệ</t>
  </si>
  <si>
    <t>Phó Chánh Văn phòng Sở KH&amp;CN Ninh Bình</t>
  </si>
  <si>
    <t>Phó Chánh Văn phòng Sở KH&amp;CN Nam Định</t>
  </si>
  <si>
    <t>Đặng Anh Tuấn</t>
  </si>
  <si>
    <t>17/02/1976</t>
  </si>
  <si>
    <t>Số nhà 367 đường Lê Hồng Phong, phường Vị Xuyên, TP Nam Định</t>
  </si>
  <si>
    <t>Phó Chánh Văn phòng - kế toán trưởng Sở KH&amp;CN Nam Định,</t>
  </si>
  <si>
    <t>Đã nghỉ thôi việc</t>
  </si>
  <si>
    <t>Phó Chánh Văn phòng Sở KH&amp;CN Hà Nam</t>
  </si>
  <si>
    <t>Trần Thị Mười</t>
  </si>
  <si>
    <t>16/02/1973</t>
  </si>
  <si>
    <t>Số 7 Nguyễn Lương Bằng, TP Nam Định</t>
  </si>
  <si>
    <t>Chuyên viên, Chi cục Tiêu chuẩn Đo lường chất lượng Sở KH&amp;CN Nam Định</t>
  </si>
  <si>
    <t>1.1.7</t>
  </si>
  <si>
    <t>Kế toán viên Sở, Văn phòng Sở KH&amp;CN Nam Định</t>
  </si>
  <si>
    <t>1.1.8</t>
  </si>
  <si>
    <t>Chuyên viên, Văn phòng Sở KH&amp;CN Nam Định</t>
  </si>
  <si>
    <t>1.1.9</t>
  </si>
  <si>
    <t>Trần Việt Cường</t>
  </si>
  <si>
    <t>Phường Vị Xuyên, TP Nam Định</t>
  </si>
  <si>
    <t>1.1.10</t>
  </si>
  <si>
    <t>1.1.11</t>
  </si>
  <si>
    <t>1.1.12</t>
  </si>
  <si>
    <t>1.1.13</t>
  </si>
  <si>
    <t>Đỗ Thị Đoan Trang</t>
  </si>
  <si>
    <t>11/06/1979</t>
  </si>
  <si>
    <t>8/35 đường Hoàng Diệu phường Năng Tĩnh, TP Nam Định</t>
  </si>
  <si>
    <t>1.1.14</t>
  </si>
  <si>
    <t>Chuyên viên Phòng Chuyển đổi số Sở KH&amp;CN Ninh Bình</t>
  </si>
  <si>
    <t>1.1.15</t>
  </si>
  <si>
    <t>Chánh Văn phòng Sở KH&amp;CN Ninh Bình</t>
  </si>
  <si>
    <t>Trưởng phòng Quản lý Chuyên ngành Sở KH&amp;CN Nam Định</t>
  </si>
  <si>
    <t>Trưởng phòng Quản lý Khoa học Sở KH&amp;CN Ninh Bình</t>
  </si>
  <si>
    <t>Phụ trách Kế toán Sở KH&amp;CN Ninh Bình</t>
  </si>
  <si>
    <t>Kế toán viên Sở KH&amp;CN Ninh Bình</t>
  </si>
  <si>
    <t>Kế toán viên Sở KH&amp;CN Hà Nam</t>
  </si>
  <si>
    <t>Trần Thị Hương Sen</t>
  </si>
  <si>
    <t>12/3/1979</t>
  </si>
  <si>
    <t>Phường Hai bà Trưng, Phủ Lý, Hà Nam</t>
  </si>
  <si>
    <t>Cử nhân Kinh tế - kế toán</t>
  </si>
  <si>
    <t>Chuyên viên, phòng Quản lý Khoa học Sở KH&amp;CN Ninh Bình</t>
  </si>
  <si>
    <t>Trưởng phòng Phòng Công nghệ và Bưu chính - Viễn thông Sở KH&amp;CN Nam Định</t>
  </si>
  <si>
    <t>Phó Trưởng phòng Quản lý khoa học công nghệ, Sở KH&amp;CN Hà Nam</t>
  </si>
  <si>
    <t>Phó Trưởng phòng Phòng Quản lý Khoa học Sở KH&amp;CN Nam Định</t>
  </si>
  <si>
    <t>Phó trưởng phòng Quản lý Khoa học Sở KH&amp;CN Ninh Bình</t>
  </si>
  <si>
    <t>Chuyên viên phòng Quản lý Khoa học Sở KH&amp;CN Ninh Bình</t>
  </si>
  <si>
    <t>Chuyên viên phòng Công nghệ và Bưu chính - Viễn thông Sở KH&amp;CN Nam Định</t>
  </si>
  <si>
    <t>Chuyên viên phòng Quản lý Khoa học Sở KH&amp;CN Nam Định</t>
  </si>
  <si>
    <t>1.3.10</t>
  </si>
  <si>
    <t>Phạm Thị Phương</t>
  </si>
  <si>
    <t>16/01/1984</t>
  </si>
  <si>
    <t>Số 18/32,Đường Nguyễn Khuyến, Phường Trường Thi, TP Nam Định</t>
  </si>
  <si>
    <t>1.3.11</t>
  </si>
  <si>
    <t>1.3.12</t>
  </si>
  <si>
    <t>Chuyên viên phòng Quản lý Khoa học Sở KH&amp;CN Hà Nam</t>
  </si>
  <si>
    <t>1.3.13</t>
  </si>
  <si>
    <t>1.3.14</t>
  </si>
  <si>
    <t>Nguyễn Thị Thùy Dung</t>
  </si>
  <si>
    <t>25/5/1992</t>
  </si>
  <si>
    <t>Thôn 4, xã Phù Vân, TP Phủ Lý</t>
  </si>
  <si>
    <t xml:space="preserve">Cử nhân Luật </t>
  </si>
  <si>
    <t>Trưởng phòng Công nghệ Chuyên ngành Sở KH&amp;CN Ninh Bình</t>
  </si>
  <si>
    <t>Trưởng phòng Quản lý Chuyên ngành Sở KH&amp;CN Hà Nam</t>
  </si>
  <si>
    <t>Nguyễn Quốc Khánh</t>
  </si>
  <si>
    <t>25/11/1964</t>
  </si>
  <si>
    <t>74 Lưu Hữu Phước, TP Nam Định</t>
  </si>
  <si>
    <t>Phó trưởng phòng Công nghệ và Bưu chính - Viễn thông Sở KH&amp;CN Nam Định</t>
  </si>
  <si>
    <t>Đã nghỉ hưu trước tuổi</t>
  </si>
  <si>
    <t>Phó trưởng phòng Quản lý Chuyên ngành, Sở KH&amp;CN Nam Định</t>
  </si>
  <si>
    <t>Chuyên viên Chi cục Tiêu chuẩn Đo lường Chất lượng, Sở KH&amp;CN Ninh Bình</t>
  </si>
  <si>
    <t>Chuyên viên Văn phòng Sở KH&amp;CN Nam Định</t>
  </si>
  <si>
    <t>Chuyên viên phòng Công nghệ và Bưu chính - Viễn thông, Sở KH&amp;CN Nam Định</t>
  </si>
  <si>
    <t>Chuyên viên phòng Công nghệ Chuyên ngành, Sở KH&amp;CN Ninh Bình</t>
  </si>
  <si>
    <t>Nguyễn Văn Hoàng</t>
  </si>
  <si>
    <t>08/8/1968</t>
  </si>
  <si>
    <t>Ninh Nhất, TP. Hoa Lư</t>
  </si>
  <si>
    <t>Vũ Ngọc Duy</t>
  </si>
  <si>
    <t>02/05/1989</t>
  </si>
  <si>
    <t>Số nhà 02, ngõ 129, đường Lê Hồng Phong, phường Vị Xuyên, thành phố Nam Định, tỉnh Nam Định</t>
  </si>
  <si>
    <t>Thạc sĩ, Kỹ thuật chế biến lâm sản</t>
  </si>
  <si>
    <t>- Công nghệ chế biến lâm sản; 
-  Luật kinh tế</t>
  </si>
  <si>
    <t>Chuyên viên phòng Quản lý Chuyên ngành, Sở KH&amp;CN Nam Định</t>
  </si>
  <si>
    <t>1.4.11</t>
  </si>
  <si>
    <t>1.4.12</t>
  </si>
  <si>
    <t>Chuyên viên Phòng Quản lý chuyên ngành, Sở KH&amp;CN Hà Nam</t>
  </si>
  <si>
    <t>1.4.13</t>
  </si>
  <si>
    <t>Trần Thị Ngọc Mai</t>
  </si>
  <si>
    <t>06/01/1985</t>
  </si>
  <si>
    <t>Thạc sỹ, nông nghiệp</t>
  </si>
  <si>
    <t xml:space="preserve">Cử nhân Khoa học cây trồng, </t>
  </si>
  <si>
    <t>1.4.14</t>
  </si>
  <si>
    <t>Chuyên viên Chi cục Tiêu chuẩn Đo lường Chất lượng Nam Định</t>
  </si>
  <si>
    <t>Trưởng phòng Chuyển đổi số Sở KH&amp;CN Nam Định</t>
  </si>
  <si>
    <t>Đinh Văn Đại</t>
  </si>
  <si>
    <t>1/6/1980</t>
  </si>
  <si>
    <t>Phường Lương Khánh Thiện, Phủ Lý, Hà Nam</t>
  </si>
  <si>
    <t>Kỹ sư Công nghệ kỹ thuật điện tử, viễn thông</t>
  </si>
  <si>
    <t xml:space="preserve">Phó Trưởng phòng Chuyển đổi số Sở KH&amp;CN Hà Nam </t>
  </si>
  <si>
    <t>Phó Trưởng phòng Chuyển đổi số Sở KH&amp;CN Nam Định</t>
  </si>
  <si>
    <t>Phó Trưởng phòng Chuyển đổi số Sở KH&amp;CN Ninh Bình</t>
  </si>
  <si>
    <t>Chuyên viên phòng Chuyển đổi số Sở KH&amp;CN Ninh Bình</t>
  </si>
  <si>
    <t>Chuyên viên phòng Chuyển đổi số Sở KH&amp;CN Nam Định</t>
  </si>
  <si>
    <t>1.5.11</t>
  </si>
  <si>
    <t>1.5.12</t>
  </si>
  <si>
    <t>Đỗ Văn Trinh</t>
  </si>
  <si>
    <t>4/10/1981</t>
  </si>
  <si>
    <t>Phường Kim Bình, Phủ Lý, Hà Nam</t>
  </si>
  <si>
    <t>Chuyên viên phòng Chuyển đổi số Sở KH&amp;CN Hà Nam</t>
  </si>
  <si>
    <t>1.5.13</t>
  </si>
  <si>
    <t>1.5.14</t>
  </si>
  <si>
    <t>Chuyên viên phòng Công nghệ và Bưu chính viễn thông, Sở KH&amp;CN Nam Định</t>
  </si>
  <si>
    <t>Đào Việt Hà</t>
  </si>
  <si>
    <t>11/03/1978</t>
  </si>
  <si>
    <t>12G khu liên cơ Hùng Vương, TP Nam Định</t>
  </si>
  <si>
    <t>Thạc sĩ Quản lý khoa học công nghệ</t>
  </si>
  <si>
    <t>Công nghệ hóa hữu cơ</t>
  </si>
  <si>
    <t>Chi cục trưởng Chi cục Tiêu chuẩn Đo lường Chất lượng Sở KH&amp;CN Nam Định</t>
  </si>
  <si>
    <t>Trần Toàn</t>
  </si>
  <si>
    <t>13/10/1976</t>
  </si>
  <si>
    <t>Kỹ sư kỹ thuật Điện tử viễn thông</t>
  </si>
  <si>
    <t>Trưởng phòng Hạ tầng KH&amp;CN, Sở KH&amp;CN Hà Nam</t>
  </si>
  <si>
    <t>Phó trưởng phòng Công nghệ và Bưu chính viễn thông, Sở KH&amp;CN Nam Định</t>
  </si>
  <si>
    <t>Phó trưởng phòng Công nghệ Chuyên ngành, Sở KH&amp;CN Ninh Bình</t>
  </si>
  <si>
    <t>Phan Văn Điệp</t>
  </si>
  <si>
    <t>22/10/1976</t>
  </si>
  <si>
    <t>Tổ dân phố Mễ Nội, Phường Liêm Chính, TP Phủ Lý</t>
  </si>
  <si>
    <t>Thạc sỹ quản lý hành chính công</t>
  </si>
  <si>
    <t>Ngoại ngữ</t>
  </si>
  <si>
    <t>Chuyên viên Phòng Hạ tầng Khoa học và Công nghệ Sở KH&amp;CN Hà Nam</t>
  </si>
  <si>
    <t>Chuyên viên thuộc Chi cục Tiêu chuẩn Đo lường Chất lượng Sở KH&amp;CN Nam Định</t>
  </si>
  <si>
    <t>Trần Thị Hải Bình</t>
  </si>
  <si>
    <t>30/06/1978</t>
  </si>
  <si>
    <t>46/72 Trần Thái Tông, TP Nam Định</t>
  </si>
  <si>
    <t>Thạc sĩ Nuôi trồng thủy sản</t>
  </si>
  <si>
    <t>1. Đại học Nuôi trồng thủy sản; 
2. Đại học Kế toán</t>
  </si>
  <si>
    <t>Phòng Đổi mới sáng tạo (09 người)</t>
  </si>
  <si>
    <t>Chánh Văn phòng Sở KH&amp;CN Hà Nam</t>
  </si>
  <si>
    <t>Trưởng Phòng Quản lý Khoa học Công nghệ Sở KH&amp;CN Hà Nam</t>
  </si>
  <si>
    <t>Phó Trưởng phòng Công nghệ và Bưu chính viễn thông Sở KH&amp;CN Nam Định</t>
  </si>
  <si>
    <t>Trưởng phòng Quản lý Đo lường - Tổng hợp Chi cục Tiêu Chuẩn Đo lường Chất lượng Sở KH&amp;CN Nam Định</t>
  </si>
  <si>
    <t>1.7.6</t>
  </si>
  <si>
    <t>Kế toán viên Sở - Văn phòng Sở KH&amp;CN Nam Định</t>
  </si>
  <si>
    <t>1.7.7</t>
  </si>
  <si>
    <t>Chuyên viên Văn phòng Sở KH&amp;CN Hà Nam</t>
  </si>
  <si>
    <t>1.7.8</t>
  </si>
  <si>
    <t>Chuyên viên Phòng Quản lý Chuyên ngành Sở KH&amp;CN Hà Nam</t>
  </si>
  <si>
    <t>1.7.9</t>
  </si>
  <si>
    <t xml:space="preserve">Đặng Anh Tuấn </t>
  </si>
  <si>
    <t>14/5/1984</t>
  </si>
  <si>
    <t>Thôn Thanh Nộn 2, Xã Thanh Sơn, TX Kim Bảng</t>
  </si>
  <si>
    <t xml:space="preserve"> Tiến sỹ- vật lý chất rắn</t>
  </si>
  <si>
    <t>Vật lý</t>
  </si>
  <si>
    <t>Chuyên viên Phòng Quản lý Khoa học Công nghệ Sở KH&amp;CN Hà Nam</t>
  </si>
  <si>
    <t>Trưởng phòng Quản lý Khoa học Sở KH&amp;CN Nam Định</t>
  </si>
  <si>
    <t>Phó Chi cục Trưởng Chi cục Tiêu chuẩn Đo lường Chất lượng Sở KH&amp;CN Nam Định</t>
  </si>
  <si>
    <t>Phó Chi cục Trưởng Chi cục Tiêu chuẩn Đo lường Chất lượng Sở KH&amp;CN Ninh Bình</t>
  </si>
  <si>
    <t>Trần Xuân Hội</t>
  </si>
  <si>
    <t>26/4/1976</t>
  </si>
  <si>
    <t>Tổ 6b Phường Châu Cầu, TP Phủ Lý</t>
  </si>
  <si>
    <t>Cử nhân Quản trị kinh doanh</t>
  </si>
  <si>
    <t>Phó Trưởng phòng Tiêu chuẩn - Đo lường, Chất lượng Sở KH&amp;CN Hà Nam</t>
  </si>
  <si>
    <t>Phó trưởng phòng - Phụ trách phòng Tiêu chuẩn Đo lường Chất lượng , Sở KH&amp;CN Hà Nam</t>
  </si>
  <si>
    <t>Trưởng phòng thuộc Chi cục Tiêu chuẩn Đo lường Chất lượng Sở KH&amp;CN Ninh Bình</t>
  </si>
  <si>
    <t>Phó Trưởng  phòng thuộc Chi cục Tiêu chuẩn Đo lường Chất lượng Sở KH&amp;CN Ninh Bình</t>
  </si>
  <si>
    <t>Chuyên viên thuộc Chi cục Tiêu chuẩn Đo lường Chất lượng Sở KH&amp;CN Ninh Bình</t>
  </si>
  <si>
    <t>Chuyên viên thuộc phòng Tiêu chuẩn Đo lường Chất lượng Sở KH&amp;CN Hà Nam</t>
  </si>
  <si>
    <t>Phó trưởng phòng Quản lý Tiêu chuẩn chất lượng thuộc Chi cục Tiêu chuẩn Đo lường Chất lượng Sở KH&amp;CN Nam Định</t>
  </si>
  <si>
    <t>Chuyên viên thuộc Chi cục TĐC Ninh Bình</t>
  </si>
  <si>
    <t>Công nghệ Hàn</t>
  </si>
  <si>
    <t>Trưởng phòng Quản lý Tiêu chuẩn chất lượng thuộc Chi cục Tiêu chuẩn Đo lường Chất lượng Sở KH&amp;CN Nam Định</t>
  </si>
  <si>
    <t>2.18</t>
  </si>
  <si>
    <t>Chuyên viên thuộc Phòng Tiêu chuẩn Đo lường Chất lượng Sở KH&amp;CN Hà Nam</t>
  </si>
  <si>
    <t>2.19</t>
  </si>
  <si>
    <t>Nguyễn Minh Hải</t>
  </si>
  <si>
    <t>12/12/1975</t>
  </si>
  <si>
    <t>SN 29, ngõ 10, đường Tràng An, Phố Tân An, tỉnh Ninh Bình</t>
  </si>
  <si>
    <t>Báo chí và thông tin</t>
  </si>
  <si>
    <t>Thanh tra Sở KH&amp;CN Ninh Bình</t>
  </si>
  <si>
    <t>2.20</t>
  </si>
  <si>
    <t>Bùi Văn Võ</t>
  </si>
  <si>
    <t>17/04/1964</t>
  </si>
  <si>
    <t>5/185 Thanh Bình, TP Nam Định</t>
  </si>
  <si>
    <t>Trung cấp lái xe chuyên dụng</t>
  </si>
  <si>
    <t>Lái xe Chi cục Tiêu chuẩn Đo lường Chất lượng Sở KH&amp;CN Nam Định</t>
  </si>
  <si>
    <t>Giám đốc Trung tâm Chuyển đổi số, Sở KH&amp;CN Hà Nam</t>
  </si>
  <si>
    <t>7/12/1980</t>
  </si>
  <si>
    <t>Thôn Ba, Thanh Phong, Thanh Liêm</t>
  </si>
  <si>
    <t>Giám đốc Trung tâm Ứng dụng tiến bộ Khoa học công nghệ và Kiểm định, kiểm nghiệm, Sở KH&amp;CN Hà Nam</t>
  </si>
  <si>
    <t>Phó Giám đốc Trung tâm Ứng dụng tiến bộ Khoa học công nghệ và Kiểm định, kiểm nghiệm, Sở KH&amp;CN Hà Nam</t>
  </si>
  <si>
    <t>Phó Giám đốc Trung tâm Chuyển đổi số, Sở KH&amp;CN Hà Nam</t>
  </si>
  <si>
    <t>Phó Trưởng phòng thuộc Trung tâm Đo lường và Hỗ trợ Khởi nghiệp sáng tạo, Sở KH&amp;CN Ninh Bình</t>
  </si>
  <si>
    <t xml:space="preserve">Viên chức Trung tâm Đo lường và Hỗ trợ Khởi nghiệp sáng tạo, Sở KH&amp;CN Ninh Bình </t>
  </si>
  <si>
    <t>Phạm Văn Cương</t>
  </si>
  <si>
    <t>23/01/1986</t>
  </si>
  <si>
    <t>Viên chức Trung tâm Đo lường và Hỗ trợ Khởi nghiệp sáng tạo, Sở KH&amp;CN Ninh Bình</t>
  </si>
  <si>
    <t>Trịnh Xuân Giáp</t>
  </si>
  <si>
    <t>04/4/1982</t>
  </si>
  <si>
    <t>Thạc sĩ, Vật lý chất rắn</t>
  </si>
  <si>
    <t>Viên chức thuộc Trung tâm Ứng dụng tiến bộ Khoa học công nghệ và Kiểm định, kiểm nghiệm, Sở KH&amp;CN Hà Nam</t>
  </si>
  <si>
    <t>Quyền Thế Lực</t>
  </si>
  <si>
    <t>16/6/1973</t>
  </si>
  <si>
    <t>Khu đô thị Nam Châu Giang, Phường Châu cầu, Phủ Lý, Hà Nam</t>
  </si>
  <si>
    <t>Công nghệ Điện tử
 viễn thông</t>
  </si>
  <si>
    <t>Viên chức Trung tâm Chuyển đổi số, Sở KH&amp;CN Hà Nam</t>
  </si>
  <si>
    <t>Phó Trưởng phòng Trung tâm Ứng Dụng, Dịch vụ KH&amp;CN, Sở KH&amp;CN  Nam Định</t>
  </si>
  <si>
    <t>Viên chức thuộc Trung tâm Ứng Dụng, Dịch vụ KH&amp;CN, Sở KH&amp;CN  Nam Định</t>
  </si>
  <si>
    <t>Phạm Thị Ngôn</t>
  </si>
  <si>
    <t>20/03/1982</t>
  </si>
  <si>
    <t>Sn 35 Trần Bích San- Phường Trần Quang Khải - TP Nam Định</t>
  </si>
  <si>
    <t>Kế toán - doanh nghiệp</t>
  </si>
  <si>
    <t>Phạm Thị Lan Hương</t>
  </si>
  <si>
    <t>05/12/1986</t>
  </si>
  <si>
    <t>139B Hàng Thao, TP Nam Định</t>
  </si>
  <si>
    <t>Đào Đăng Vượng</t>
  </si>
  <si>
    <t>290 Tô Hiến Thành, TP Nam Định</t>
  </si>
  <si>
    <t>Trưởng phòng Ứng dụng - Thông tin KH&amp;CN thuộc Trung tâm Ứng Dụng, Dịch vụ KH&amp;CN, Sở KH&amp;CN  Nam Định</t>
  </si>
  <si>
    <t>Trần Thị Chung Thùy</t>
  </si>
  <si>
    <t>16/11/1990</t>
  </si>
  <si>
    <t>Tài chính- Ngân hàng</t>
  </si>
  <si>
    <t>Nguyễn Mạnh Dũng</t>
  </si>
  <si>
    <t>29/09/1965</t>
  </si>
  <si>
    <t>76 Ngô Gia Tự, Phường Quang Trung, TP. Nam Định.</t>
  </si>
  <si>
    <t>Giám đốc Trung tâm Công nghệ Thông tin và Truyền thông, Sở KH&amp;CN Ninh Bình</t>
  </si>
  <si>
    <t>Giám đốc Trung tâm Chuyển đổi số và Truyền thông, Sở KH&amp;CN Nam Định</t>
  </si>
  <si>
    <t>Phó giám đốc Trung tâm Công nghệ Thông tin và Truyền thông, Sở KH&amp;CN Ninh Bình</t>
  </si>
  <si>
    <t>Vũ Thị Hoa</t>
  </si>
  <si>
    <t>15/04/1979</t>
  </si>
  <si>
    <t>20 Vũ Trọng Phụng, TP Nam Định</t>
  </si>
  <si>
    <t>Phó Giám đốc Trung tâm Chuyển đổi số và Truyền thông, Sở KH&amp;CN Nam Định</t>
  </si>
  <si>
    <t>Phạm Thị Dung</t>
  </si>
  <si>
    <t>2/12/1982</t>
  </si>
  <si>
    <t>Phường Lê Hồng Phong, Phủ Lý, Hà Nam</t>
  </si>
  <si>
    <t>Công nghệ 
Điện tử - Viễn thông</t>
  </si>
  <si>
    <t>Trưởng phòng thuộc Trung tâm Công nghệ Thông tin và Truyền thông, Sở KH&amp;CN Ninh Bình</t>
  </si>
  <si>
    <t>Phó trưởng phòng thuộc Trung tâm Công nghệ Thông tin và Truyền thông, Sở KH&amp;CN Ninh Bình</t>
  </si>
  <si>
    <t>Viên chức Trung tâm Công nghệ Thông tin và Truyền thông, Sở KH&amp;CN Ninh Bình</t>
  </si>
  <si>
    <t>Trần Văn Nghĩa</t>
  </si>
  <si>
    <t>20/9/1980</t>
  </si>
  <si>
    <t>Phường Ninh Sơn, TP Hoa Lư, Ninh Bình</t>
  </si>
  <si>
    <t>Nguyễn Thị Thu Lan</t>
  </si>
  <si>
    <t>09/02/1980</t>
  </si>
  <si>
    <t>Sư phạm hoá học</t>
  </si>
  <si>
    <t>Đinh Thị Thanh Hà</t>
  </si>
  <si>
    <t>27/10/1999</t>
  </si>
  <si>
    <t>Lại Thị Yến</t>
  </si>
  <si>
    <t>03/9/1982</t>
  </si>
  <si>
    <t xml:space="preserve">Thạc sĩ, Kinh tế chính trị </t>
  </si>
  <si>
    <t>2.21</t>
  </si>
  <si>
    <t>2.22</t>
  </si>
  <si>
    <t>Trưởng phòng, thuộc Trung tâm Công nghệ Thông tin và Truyền thông, Sở KH&amp;CN Ninh Bình</t>
  </si>
  <si>
    <t>2.23</t>
  </si>
  <si>
    <t>Phó trưởng phòng, thuộc Trung tâm Công nghệ Thông tin và Truyền thông, Sở KH&amp;CN Ninh Bình</t>
  </si>
  <si>
    <t>2.24</t>
  </si>
  <si>
    <t>2.25</t>
  </si>
  <si>
    <t>2.26</t>
  </si>
  <si>
    <t>2.27</t>
  </si>
  <si>
    <t>2.28</t>
  </si>
  <si>
    <t>2.29</t>
  </si>
  <si>
    <t>2.30</t>
  </si>
  <si>
    <t>2.31</t>
  </si>
  <si>
    <t>Nguyễn Bích Linh</t>
  </si>
  <si>
    <t>11/10/1989</t>
  </si>
  <si>
    <t>2.32</t>
  </si>
  <si>
    <t>2.33</t>
  </si>
  <si>
    <t>Bùi Thị Hằng</t>
  </si>
  <si>
    <t>10/04/1984</t>
  </si>
  <si>
    <t>216 đường Hưng Yên, TP Nam Định</t>
  </si>
  <si>
    <t>Viên chức Trung tâm Chuyển đổi số và Truyền thông, Sở KH&amp;CN Nam Định</t>
  </si>
  <si>
    <t>2.34</t>
  </si>
  <si>
    <t>2.35</t>
  </si>
  <si>
    <t>2.36</t>
  </si>
  <si>
    <t>2.37</t>
  </si>
  <si>
    <t>Trương Công Hiệp</t>
  </si>
  <si>
    <t>07/10/1986</t>
  </si>
  <si>
    <t>179 Lê Hồng Phong, TP Nam Định</t>
  </si>
  <si>
    <t>Kỹ thuật điều khiển và tự động hóa</t>
  </si>
  <si>
    <t>2.38</t>
  </si>
  <si>
    <t>2.39</t>
  </si>
  <si>
    <t>2.40</t>
  </si>
  <si>
    <t>2.41</t>
  </si>
  <si>
    <t>2.42</t>
  </si>
  <si>
    <t>2.43</t>
  </si>
  <si>
    <t>Trịnh Tùng</t>
  </si>
  <si>
    <t>25/09/1999</t>
  </si>
  <si>
    <t>Số 1, Trần Tung, Phường Cửa Bắc, Tp. Nam Định, Nam Định</t>
  </si>
  <si>
    <t>Quan hệ công chúng, quảng cáo và truyền thông</t>
  </si>
  <si>
    <t>2.44</t>
  </si>
  <si>
    <t>Vũ Hải Yến</t>
  </si>
  <si>
    <t>12/11/1996</t>
  </si>
  <si>
    <t>50/2 Gốc Mít, P. Vị Xuyên, TP. Nam Định, tỉnh Nam Định</t>
  </si>
  <si>
    <t>Văn thư hành chính</t>
  </si>
  <si>
    <t>2.45</t>
  </si>
  <si>
    <t>2.46</t>
  </si>
  <si>
    <t>Nguyễn Thị Thương Huyền</t>
  </si>
  <si>
    <t>30/4/1986</t>
  </si>
  <si>
    <t>Lê Hồng Phong, Phủ Lý, Hà Nam</t>
  </si>
  <si>
    <t>2.47</t>
  </si>
  <si>
    <t>Phạm Thị Nga</t>
  </si>
  <si>
    <t>14/12/1982</t>
  </si>
  <si>
    <t>Phường Liêm Tuyền, Thành phố Phủ Lý, Hà Nam</t>
  </si>
  <si>
    <t>2.48</t>
  </si>
  <si>
    <t>Lương thị Hậu</t>
  </si>
  <si>
    <t>17/1/1985</t>
  </si>
  <si>
    <t>Cử nhân Báo chí</t>
  </si>
  <si>
    <t>2.49</t>
  </si>
  <si>
    <t>Đỗ Thị Thuý Anh</t>
  </si>
  <si>
    <t>Phường Hai bà Trưng,
 Phủ Lý, Hà Nam</t>
  </si>
  <si>
    <t>Công nghệ 
thông tin</t>
  </si>
  <si>
    <t>2.50</t>
  </si>
  <si>
    <t>2.51</t>
  </si>
  <si>
    <t>2.52</t>
  </si>
  <si>
    <t>2.53</t>
  </si>
  <si>
    <t>Nguyễn Thị Thu Hường</t>
  </si>
  <si>
    <t>27/7/1983</t>
  </si>
  <si>
    <t>2.54</t>
  </si>
  <si>
    <t>2.55</t>
  </si>
  <si>
    <t>2.56</t>
  </si>
  <si>
    <t>2.57</t>
  </si>
  <si>
    <t>2.58</t>
  </si>
  <si>
    <t>Vũ Thị Thu Thảo</t>
  </si>
  <si>
    <t>Tổ dân phố Bào Cừu, Thanh Châu, Phủ Lý</t>
  </si>
  <si>
    <t>Tiếng 
Trung Quốc</t>
  </si>
  <si>
    <t>2.59</t>
  </si>
  <si>
    <t>Giám đốc Trung tâm Đo lường và Hỗ trợ Khởi nghiệp sáng tạo, Sở KH&amp;CN Ninh Bình</t>
  </si>
  <si>
    <t>Phó Giám đốc - Phụ trách Trung tâm Ứng Dụng, Dịch vụ KH&amp;CN, Sở KH&amp;CN Nam Định</t>
  </si>
  <si>
    <t>Phó Giám đốc Trung tâm Ứng Dụng, Dịch vụ KH&amp;CN, Sở KH&amp;CN Nam Định</t>
  </si>
  <si>
    <t>Trưởng phòng thuộc Trung tâm Ứng Dụng, Dịch vụ KH&amp;CN, Sở KH&amp;CN Nam Định</t>
  </si>
  <si>
    <t>Viên chức thuộc Trung tâm Ứng Dụng, Dịch vụ KH&amp;CN, Sở KH&amp;CN Nam Định</t>
  </si>
  <si>
    <t>Lái xe Sở KH&amp;CN Nam Định</t>
  </si>
  <si>
    <t>Nguyễn Văn Khoa</t>
  </si>
  <si>
    <t>10/11/1975</t>
  </si>
  <si>
    <t>644 đường Giải phóng, phường Trường Thi, TP Nam Định</t>
  </si>
  <si>
    <t>Trần Quý Dương</t>
  </si>
  <si>
    <t>26/10/1996</t>
  </si>
  <si>
    <t>Tiêu động, Bình lục, Hà Nam</t>
  </si>
  <si>
    <t>Lái xe Sở KH&amp;CN Hà Nam</t>
  </si>
  <si>
    <t>Lái xe Sở KH&amp;CN Ninh Bình</t>
  </si>
  <si>
    <t>06/02/1982</t>
  </si>
  <si>
    <t>SN 22, ngõ 100, đường Chiến Thắng, phố 6, P. Đông Thành, TP. Hoa Lư</t>
  </si>
  <si>
    <t>Lái xe Chi cục Tiêu chuẩn Đo lường Chất lượng, Sở KH&amp;CN Ninh Bình</t>
  </si>
  <si>
    <t>Nhân viên hỗ trợ Văn thư Sở KH&amp;CN Ninh Bình</t>
  </si>
  <si>
    <t>Nhân viên phục vụ, Sở KH&amp;CN Ninh Bình</t>
  </si>
  <si>
    <t>HĐLĐ thực hiện công việc chuyên môn, nghiệp vụ theo Nghị định số 111/2022/NĐ-CP (12 người)</t>
  </si>
  <si>
    <t>Nhân viên thuộc Trung tâm Ứng Dụng, Dịch vụ KH&amp;CN, Sở KH&amp;CN Nam Định</t>
  </si>
  <si>
    <t>Trung tâm Đo lường - Thử nghiệm</t>
  </si>
  <si>
    <t>LĐHĐ thuộc Trung tâm Ứng Dụng, Dịch vụ KH&amp;CN Nam Định</t>
  </si>
  <si>
    <t>Trung tâm Ứng dụng tiến bộ KHCN và Kiểm định, kiểm nghiệm, Sở KH&amp;CN Hà Nam</t>
  </si>
  <si>
    <t>Đinh Thị Thanh Hoa</t>
  </si>
  <si>
    <t>19/3/1983</t>
  </si>
  <si>
    <t>Phường Châu Sơn,
TP Phủ Lý</t>
  </si>
  <si>
    <t>Nhân viên Trung tâm Đo lường và Hỗ trợ khởi nghiệp sáng tạo, Sở KH&amp;CN Ninh Bình</t>
  </si>
  <si>
    <t>Nhân viên, Trung tâm Công nghệ Thông tin và Truyền thông, Sở KH&amp;CN Ninh Bình</t>
  </si>
  <si>
    <t>Trung tâm Chuyển đổi số và Truyền thông</t>
  </si>
  <si>
    <t>Trung tâm ứng dụng</t>
  </si>
  <si>
    <t>Nhân viên Chi cục Tiêu chuẩn Đo lường Chất lượng Sở KH&amp;CN Ninh Bình</t>
  </si>
  <si>
    <t>Chi cục</t>
  </si>
  <si>
    <t>Tổng số Viên chức: 108 viên chức</t>
  </si>
  <si>
    <t>STT</t>
  </si>
  <si>
    <t>Phòng, đơn vị</t>
  </si>
  <si>
    <t>Số lượng (người)</t>
  </si>
  <si>
    <t>Tổng</t>
  </si>
  <si>
    <t>Chưa tính Ban giám đốc</t>
  </si>
  <si>
    <t>Khối Văn phòng sở</t>
  </si>
  <si>
    <t>Văn phòng Sở</t>
  </si>
  <si>
    <t>Phòng Tài chính kế hoạch</t>
  </si>
  <si>
    <t>Phòng Khoa học</t>
  </si>
  <si>
    <t>Phòng Công nghệ - Chuyên ngành</t>
  </si>
  <si>
    <t>Phòng Chuyển đổi số</t>
  </si>
  <si>
    <t>Phòng Hạ tầng Khoa học Công nghệ - Thông tin</t>
  </si>
  <si>
    <t>Phòng Đổi mới sáng tạo</t>
  </si>
  <si>
    <t>Chi cục TĐC</t>
  </si>
  <si>
    <t>Trung tâm thuộc Sở</t>
  </si>
  <si>
    <t>Trung tâm Ứng dụng Khoa học Công nghệ và Hỗ trợ Đổi mới sáng tạo</t>
  </si>
  <si>
    <t>IV</t>
  </si>
  <si>
    <t>HDLĐ 111</t>
  </si>
  <si>
    <t>HĐLD hỗ trợ phục vụ</t>
  </si>
  <si>
    <t>HĐLD chuyên môn nghiệp vụ</t>
  </si>
  <si>
    <t>Phòng Công nghệ - Chuyên ngành (14 người)</t>
  </si>
  <si>
    <t>Phòng Chuyển đổi số (14 người)</t>
  </si>
  <si>
    <t>Phòng Hạ tầng Khoa học Công nghệ - Thông tin (08 người)</t>
  </si>
  <si>
    <t>Chi cục Tiêu chuẩn Đo lường Chất lượng (20 người)</t>
  </si>
  <si>
    <t>Trung tâm Ứng dụng Khoa học Công nghệ và Hỗ trợ Đổi mới sáng tạo (32 người)</t>
  </si>
  <si>
    <t>Trung tâm Chuyển đổi số và Truyền thông (59 người)</t>
  </si>
  <si>
    <t>Văn phòng Sở (15 người)</t>
  </si>
  <si>
    <t>Ban Giám đốc</t>
  </si>
  <si>
    <t>Phó giám đốc Tài chính</t>
  </si>
  <si>
    <t>Phòng Khoa học (14 người)</t>
  </si>
  <si>
    <t>Sở Khoa học và công nghệ</t>
  </si>
  <si>
    <t>V</t>
  </si>
  <si>
    <t>Tổng số Công chức:  109 CBCC</t>
  </si>
  <si>
    <t>1.2.13</t>
  </si>
  <si>
    <t>Trung tâm Khoa học Công nghệ, Đổi mới sáng tạo và Chuyển đổi số</t>
  </si>
  <si>
    <t>Tổng số Viên chức: 82 viên chức</t>
  </si>
  <si>
    <t>Trần Thị Ngân</t>
  </si>
  <si>
    <t>Phòng Đổi mới sáng tạo (06 người)</t>
  </si>
  <si>
    <t>HĐLĐ thực hiện công việc hỗ trợ, phục vụ theo Nghị định số 111/2022/NĐ-CP (09 người)</t>
  </si>
  <si>
    <t>1</t>
  </si>
  <si>
    <t>2</t>
  </si>
  <si>
    <t>3</t>
  </si>
  <si>
    <t>4</t>
  </si>
  <si>
    <t>5</t>
  </si>
  <si>
    <t>6</t>
  </si>
  <si>
    <t xml:space="preserve">dat truong mai phuong loan </t>
  </si>
  <si>
    <t>Trung tâm Đo lường - Thử nghiệm (15 người)</t>
  </si>
  <si>
    <t>1.2.14</t>
  </si>
  <si>
    <t>Bùi Thị Diệu Thuý</t>
  </si>
  <si>
    <t>09/9/1992</t>
  </si>
  <si>
    <t>Số 34, ngõ 50, đường Đinh Tiên Hoàng, P. Hoa Lư</t>
  </si>
  <si>
    <t>Thạc sỹ quản lý Kinh tế</t>
  </si>
  <si>
    <t>Đại học Tài chính ngân hàng</t>
  </si>
  <si>
    <t>Văn phòng Sở (14 người)</t>
  </si>
  <si>
    <t>Ngày sinh</t>
  </si>
  <si>
    <t>Tuổi</t>
  </si>
  <si>
    <t>Nhỏ hơn 30</t>
  </si>
  <si>
    <t>từ 30 &gt; 50</t>
  </si>
  <si>
    <t>Lớn hơn 50</t>
  </si>
  <si>
    <t>Phần mềm office</t>
  </si>
  <si>
    <t>Có bản quyền</t>
  </si>
  <si>
    <t>Không có bản quyền</t>
  </si>
  <si>
    <t>Phần mềm diệt virus</t>
  </si>
  <si>
    <t>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</si>
</sst>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6" formatCode="[$-1010000]d/m/yyyy;@"/>
  </numFmts>
  <fonts count="16" x14ac:knownFonts="1"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3"/>
      <color theme="1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8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/>
  </cellStyleXfs>
  <cellXfs count="20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14" fontId="9" fillId="2" borderId="1" xfId="0" quotePrefix="1" applyNumberFormat="1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14" fontId="9" fillId="2" borderId="1" xfId="0" quotePrefix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4" fontId="9" fillId="0" borderId="1" xfId="0" quotePrefix="1" applyNumberFormat="1" applyFont="1" applyBorder="1" applyAlignment="1">
      <alignment horizontal="center" vertical="center" wrapText="1"/>
    </xf>
    <xf numFmtId="0" fontId="1" fillId="0" borderId="0" xfId="0" applyFont="1"/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/>
    <xf numFmtId="0" fontId="9" fillId="2" borderId="1" xfId="0" applyFont="1" applyFill="1" applyBorder="1" applyAlignment="1">
      <alignment horizontal="justify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49" fontId="9" fillId="2" borderId="1" xfId="1" applyNumberFormat="1" applyFont="1" applyFill="1" applyBorder="1" applyAlignment="1">
      <alignment horizontal="left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49" fontId="9" fillId="2" borderId="1" xfId="0" quotePrefix="1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7" fontId="9" fillId="0" borderId="1" xfId="0" applyNumberFormat="1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1" xfId="0" quotePrefix="1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left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3" fillId="2" borderId="1" xfId="0" quotePrefix="1" applyFont="1" applyFill="1" applyBorder="1" applyAlignment="1">
      <alignment horizontal="center" vertical="center" wrapText="1"/>
    </xf>
    <xf numFmtId="14" fontId="13" fillId="2" borderId="1" xfId="0" quotePrefix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49" fontId="10" fillId="2" borderId="1" xfId="0" quotePrefix="1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49" fontId="10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10" fillId="2" borderId="1" xfId="1" quotePrefix="1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0" xfId="0" applyFont="1" applyFill="1"/>
    <xf numFmtId="0" fontId="9" fillId="0" borderId="7" xfId="0" applyFont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7" fontId="9" fillId="2" borderId="1" xfId="0" applyNumberFormat="1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wrapText="1"/>
    </xf>
    <xf numFmtId="14" fontId="9" fillId="2" borderId="1" xfId="0" applyNumberFormat="1" applyFont="1" applyFill="1" applyBorder="1" applyAlignment="1">
      <alignment horizontal="center" wrapText="1"/>
    </xf>
    <xf numFmtId="49" fontId="9" fillId="2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1" fillId="2" borderId="0" xfId="0" quotePrefix="1" applyFont="1" applyFill="1"/>
    <xf numFmtId="49" fontId="9" fillId="2" borderId="1" xfId="1" quotePrefix="1" applyNumberFormat="1" applyFont="1" applyFill="1" applyBorder="1" applyAlignment="1">
      <alignment horizontal="center" vertical="center" wrapText="1"/>
    </xf>
    <xf numFmtId="0" fontId="9" fillId="5" borderId="1" xfId="0" quotePrefix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9" fillId="5" borderId="1" xfId="0" quotePrefix="1" applyNumberFormat="1" applyFont="1" applyFill="1" applyBorder="1" applyAlignment="1">
      <alignment horizontal="center" vertical="center" wrapText="1"/>
    </xf>
    <xf numFmtId="14" fontId="9" fillId="5" borderId="1" xfId="0" quotePrefix="1" applyNumberFormat="1" applyFont="1" applyFill="1" applyBorder="1" applyAlignment="1">
      <alignment horizontal="center" vertical="center" wrapText="1"/>
    </xf>
    <xf numFmtId="0" fontId="9" fillId="5" borderId="1" xfId="0" quotePrefix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 wrapText="1"/>
    </xf>
    <xf numFmtId="49" fontId="9" fillId="6" borderId="1" xfId="1" applyNumberFormat="1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justify" vertical="center" wrapText="1"/>
    </xf>
    <xf numFmtId="49" fontId="9" fillId="6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left"/>
    </xf>
    <xf numFmtId="166" fontId="1" fillId="2" borderId="0" xfId="0" applyNumberFormat="1" applyFont="1" applyFill="1" applyAlignment="1">
      <alignment horizontal="left"/>
    </xf>
    <xf numFmtId="166" fontId="6" fillId="2" borderId="0" xfId="0" applyNumberFormat="1" applyFont="1" applyFill="1" applyAlignment="1">
      <alignment horizontal="left"/>
    </xf>
    <xf numFmtId="166" fontId="8" fillId="2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quotePrefix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justify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14" fontId="9" fillId="0" borderId="1" xfId="0" quotePrefix="1" applyNumberFormat="1" applyFont="1" applyFill="1" applyBorder="1" applyAlignment="1">
      <alignment horizontal="center" vertical="center" wrapText="1"/>
    </xf>
    <xf numFmtId="49" fontId="9" fillId="0" borderId="1" xfId="1" applyNumberFormat="1" applyFont="1" applyFill="1" applyBorder="1" applyAlignment="1">
      <alignment horizontal="left" vertical="center" wrapText="1"/>
    </xf>
    <xf numFmtId="49" fontId="9" fillId="0" borderId="1" xfId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1" xfId="1" quotePrefix="1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9" fillId="5" borderId="1" xfId="0" quotePrefix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437A5FFE-A268-4A76-80FD-93A07A39D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198A-7367-4C81-8CFB-A90333022204}">
  <dimension ref="A1:AKP242"/>
  <sheetViews>
    <sheetView topLeftCell="A25" zoomScale="85" zoomScaleNormal="85" workbookViewId="0">
      <selection activeCell="E13" sqref="E13"/>
    </sheetView>
  </sheetViews>
  <sheetFormatPr baseColWidth="10" defaultColWidth="8" defaultRowHeight="14" x14ac:dyDescent="0.15"/>
  <cols>
    <col min="1" max="1" width="5.83203125" style="72" customWidth="1"/>
    <col min="2" max="2" width="21.6640625" style="70" customWidth="1"/>
    <col min="3" max="3" width="11.1640625" style="70" customWidth="1"/>
    <col min="4" max="4" width="10.5" style="70" customWidth="1"/>
    <col min="5" max="5" width="16.5" style="73" customWidth="1"/>
    <col min="6" max="6" width="14.33203125" style="73" customWidth="1"/>
    <col min="7" max="7" width="10" style="73" customWidth="1"/>
    <col min="8" max="8" width="8.6640625" style="73" customWidth="1"/>
    <col min="9" max="9" width="8.5" style="73" customWidth="1"/>
    <col min="10" max="10" width="33.33203125" style="73" customWidth="1"/>
    <col min="11" max="11" width="15.5" style="70" customWidth="1"/>
    <col min="12" max="12" width="14.1640625" style="169" customWidth="1"/>
    <col min="13" max="15" width="8" style="70"/>
    <col min="16" max="16" width="9.83203125" style="70" bestFit="1" customWidth="1"/>
    <col min="17" max="17" width="11.33203125" style="70" customWidth="1"/>
    <col min="18" max="16384" width="8" style="70"/>
  </cols>
  <sheetData>
    <row r="1" spans="1:978" s="1" customFormat="1" x14ac:dyDescent="0.15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65"/>
    </row>
    <row r="2" spans="1:978" s="1" customFormat="1" ht="30.75" customHeight="1" x14ac:dyDescent="0.15">
      <c r="A2" s="144" t="s">
        <v>953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65"/>
    </row>
    <row r="3" spans="1:978" s="1" customFormat="1" ht="9.75" customHeight="1" x14ac:dyDescent="0.15">
      <c r="A3" s="2"/>
      <c r="E3" s="3"/>
      <c r="F3" s="3"/>
      <c r="G3" s="3"/>
      <c r="H3" s="3"/>
      <c r="I3" s="3"/>
      <c r="J3" s="3"/>
      <c r="L3" s="165"/>
    </row>
    <row r="4" spans="1:978" s="4" customFormat="1" ht="29.25" customHeight="1" x14ac:dyDescent="0.15">
      <c r="A4" s="145" t="s">
        <v>1</v>
      </c>
      <c r="B4" s="145" t="s">
        <v>2</v>
      </c>
      <c r="C4" s="145" t="s">
        <v>3</v>
      </c>
      <c r="D4" s="145"/>
      <c r="E4" s="145" t="s">
        <v>4</v>
      </c>
      <c r="F4" s="145" t="s">
        <v>5</v>
      </c>
      <c r="G4" s="145"/>
      <c r="H4" s="145"/>
      <c r="I4" s="145"/>
      <c r="J4" s="145" t="s">
        <v>852</v>
      </c>
      <c r="K4" s="145" t="s">
        <v>6</v>
      </c>
      <c r="L4" s="166"/>
    </row>
    <row r="5" spans="1:978" s="1" customFormat="1" ht="34.5" customHeight="1" x14ac:dyDescent="0.15">
      <c r="A5" s="145"/>
      <c r="B5" s="145"/>
      <c r="C5" s="5" t="s">
        <v>7</v>
      </c>
      <c r="D5" s="5" t="s">
        <v>8</v>
      </c>
      <c r="E5" s="145"/>
      <c r="F5" s="6" t="s">
        <v>9</v>
      </c>
      <c r="G5" s="6" t="s">
        <v>10</v>
      </c>
      <c r="H5" s="6" t="s">
        <v>11</v>
      </c>
      <c r="I5" s="6" t="s">
        <v>12</v>
      </c>
      <c r="J5" s="145"/>
      <c r="K5" s="145"/>
      <c r="L5" s="165"/>
    </row>
    <row r="6" spans="1:978" s="8" customFormat="1" ht="22.5" customHeight="1" x14ac:dyDescent="0.1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167"/>
    </row>
    <row r="7" spans="1:978" s="11" customFormat="1" ht="21.75" customHeight="1" x14ac:dyDescent="0.15">
      <c r="A7" s="9" t="s">
        <v>13</v>
      </c>
      <c r="B7" s="10" t="s">
        <v>14</v>
      </c>
      <c r="C7" s="10"/>
      <c r="D7" s="10"/>
      <c r="E7" s="10"/>
      <c r="F7" s="10"/>
      <c r="G7" s="10"/>
      <c r="H7" s="10"/>
      <c r="I7" s="10"/>
      <c r="J7" s="10"/>
      <c r="K7" s="10"/>
      <c r="L7" s="168"/>
    </row>
    <row r="8" spans="1:978" s="4" customFormat="1" ht="27.75" customHeight="1" x14ac:dyDescent="0.15">
      <c r="A8" s="9">
        <v>1</v>
      </c>
      <c r="B8" s="134" t="s">
        <v>15</v>
      </c>
      <c r="C8" s="134"/>
      <c r="D8" s="134"/>
      <c r="E8" s="134"/>
      <c r="F8" s="134"/>
      <c r="G8" s="134"/>
      <c r="H8" s="134"/>
      <c r="I8" s="134"/>
      <c r="J8" s="134"/>
      <c r="K8" s="134"/>
      <c r="L8" s="166"/>
    </row>
    <row r="9" spans="1:978" s="4" customFormat="1" ht="18.75" customHeight="1" x14ac:dyDescent="0.15">
      <c r="A9" s="12" t="s">
        <v>16</v>
      </c>
      <c r="B9" s="134" t="s">
        <v>846</v>
      </c>
      <c r="C9" s="134"/>
      <c r="D9" s="134"/>
      <c r="E9" s="134"/>
      <c r="F9" s="134"/>
      <c r="G9" s="134"/>
      <c r="H9" s="134"/>
      <c r="I9" s="134"/>
      <c r="J9" s="134"/>
      <c r="K9" s="134"/>
      <c r="L9" s="166" t="s">
        <v>1377</v>
      </c>
      <c r="N9" s="4" t="s">
        <v>1378</v>
      </c>
      <c r="P9" s="4" t="s">
        <v>1379</v>
      </c>
      <c r="Q9" s="4" t="s">
        <v>1380</v>
      </c>
      <c r="R9" s="4" t="s">
        <v>1381</v>
      </c>
    </row>
    <row r="10" spans="1:978" s="4" customFormat="1" ht="85" x14ac:dyDescent="0.15">
      <c r="A10" s="13" t="s">
        <v>17</v>
      </c>
      <c r="B10" s="14" t="s">
        <v>18</v>
      </c>
      <c r="C10" s="15" t="s">
        <v>19</v>
      </c>
      <c r="D10" s="16"/>
      <c r="E10" s="14" t="s">
        <v>20</v>
      </c>
      <c r="F10" s="14" t="s">
        <v>21</v>
      </c>
      <c r="G10" s="14" t="s">
        <v>22</v>
      </c>
      <c r="H10" s="17"/>
      <c r="I10" s="14"/>
      <c r="J10" s="14" t="s">
        <v>853</v>
      </c>
      <c r="K10" s="33"/>
      <c r="L10" s="166" t="str">
        <f>IF(C10&lt;&gt;"",C10,D10)</f>
        <v>07/06/1970</v>
      </c>
      <c r="N10" s="4">
        <f ca="1">DATEDIF(L10,TODAY(),"Y")</f>
        <v>56</v>
      </c>
      <c r="P10" s="115">
        <f ca="1">COUNTIF(N:N,"&lt;30")</f>
        <v>3</v>
      </c>
      <c r="Q10" s="4">
        <f ca="1">COUNTIFS(N:N,"&gt;=30",N:N,"&lt;=50")</f>
        <v>82</v>
      </c>
      <c r="R10" s="4">
        <f ca="1">COUNTIF(N:N,"&gt;50")</f>
        <v>4</v>
      </c>
    </row>
    <row r="11" spans="1:978" s="4" customFormat="1" ht="85" x14ac:dyDescent="0.15">
      <c r="A11" s="13" t="s">
        <v>23</v>
      </c>
      <c r="B11" s="17" t="s">
        <v>24</v>
      </c>
      <c r="C11" s="18" t="s">
        <v>25</v>
      </c>
      <c r="D11" s="13"/>
      <c r="E11" s="19" t="s">
        <v>26</v>
      </c>
      <c r="F11" s="20" t="s">
        <v>27</v>
      </c>
      <c r="G11" s="19" t="s">
        <v>28</v>
      </c>
      <c r="H11" s="17"/>
      <c r="I11" s="10"/>
      <c r="J11" s="14" t="s">
        <v>854</v>
      </c>
      <c r="K11" s="33"/>
      <c r="L11" s="166" t="str">
        <f t="shared" ref="L11:L74" si="0">IF(C11&lt;&gt;"",C11,D11)</f>
        <v>20/08/1976</v>
      </c>
      <c r="N11" s="4">
        <f t="shared" ref="N11:N74" ca="1" si="1">DATEDIF(L11,TODAY(),"Y")</f>
        <v>49</v>
      </c>
    </row>
    <row r="12" spans="1:978" s="4" customFormat="1" ht="108" x14ac:dyDescent="0.2">
      <c r="A12" s="13" t="s">
        <v>29</v>
      </c>
      <c r="B12" s="21" t="s">
        <v>30</v>
      </c>
      <c r="C12" s="16"/>
      <c r="D12" s="15">
        <v>29148</v>
      </c>
      <c r="E12" s="74" t="s">
        <v>31</v>
      </c>
      <c r="F12" s="14"/>
      <c r="G12" s="14" t="s">
        <v>32</v>
      </c>
      <c r="H12" s="17"/>
      <c r="I12" s="10"/>
      <c r="J12" s="14" t="s">
        <v>854</v>
      </c>
      <c r="K12" s="33"/>
      <c r="L12" s="166">
        <f t="shared" si="0"/>
        <v>29148</v>
      </c>
      <c r="N12" s="4">
        <f t="shared" ca="1" si="1"/>
        <v>46</v>
      </c>
    </row>
    <row r="13" spans="1:978" s="25" customFormat="1" ht="85" x14ac:dyDescent="0.15">
      <c r="A13" s="22" t="s">
        <v>33</v>
      </c>
      <c r="B13" s="23" t="s">
        <v>34</v>
      </c>
      <c r="C13" s="24" t="s">
        <v>35</v>
      </c>
      <c r="D13" s="29"/>
      <c r="E13" s="20"/>
      <c r="F13" s="20" t="s">
        <v>36</v>
      </c>
      <c r="G13" s="20" t="s">
        <v>37</v>
      </c>
      <c r="H13" s="26"/>
      <c r="I13" s="27"/>
      <c r="J13" s="14" t="s">
        <v>854</v>
      </c>
      <c r="K13" s="28"/>
      <c r="L13" s="166" t="str">
        <f t="shared" si="0"/>
        <v>23/03/1983</v>
      </c>
      <c r="M13" s="4"/>
      <c r="N13" s="4">
        <f t="shared" ca="1" si="1"/>
        <v>43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</row>
    <row r="14" spans="1:978" s="4" customFormat="1" ht="126" x14ac:dyDescent="0.2">
      <c r="A14" s="22" t="s">
        <v>38</v>
      </c>
      <c r="B14" s="23" t="s">
        <v>39</v>
      </c>
      <c r="C14" s="24" t="s">
        <v>40</v>
      </c>
      <c r="D14" s="29"/>
      <c r="E14" s="74" t="s">
        <v>41</v>
      </c>
      <c r="F14" s="20" t="s">
        <v>42</v>
      </c>
      <c r="G14" s="20" t="s">
        <v>43</v>
      </c>
      <c r="H14" s="26"/>
      <c r="I14" s="27"/>
      <c r="J14" s="14" t="s">
        <v>854</v>
      </c>
      <c r="K14" s="28"/>
      <c r="L14" s="166" t="str">
        <f t="shared" si="0"/>
        <v>30/04/1977</v>
      </c>
      <c r="N14" s="4">
        <f t="shared" ca="1" si="1"/>
        <v>49</v>
      </c>
    </row>
    <row r="15" spans="1:978" s="4" customFormat="1" ht="136" x14ac:dyDescent="0.15">
      <c r="A15" s="13" t="s">
        <v>44</v>
      </c>
      <c r="B15" s="30" t="s">
        <v>45</v>
      </c>
      <c r="C15" s="15" t="s">
        <v>46</v>
      </c>
      <c r="D15" s="31"/>
      <c r="E15" s="20" t="s">
        <v>47</v>
      </c>
      <c r="F15" s="14" t="s">
        <v>48</v>
      </c>
      <c r="G15" s="20" t="s">
        <v>49</v>
      </c>
      <c r="H15" s="17"/>
      <c r="I15" s="10"/>
      <c r="J15" s="14" t="s">
        <v>854</v>
      </c>
      <c r="K15" s="33"/>
      <c r="L15" s="166" t="str">
        <f t="shared" si="0"/>
        <v>05/5/1976</v>
      </c>
      <c r="N15" s="4">
        <f t="shared" ca="1" si="1"/>
        <v>50</v>
      </c>
    </row>
    <row r="16" spans="1:978" s="4" customFormat="1" ht="16" x14ac:dyDescent="0.15">
      <c r="A16" s="12" t="s">
        <v>50</v>
      </c>
      <c r="B16" s="134" t="s">
        <v>1376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66"/>
    </row>
    <row r="17" spans="1:14" s="4" customFormat="1" ht="68" x14ac:dyDescent="0.15">
      <c r="A17" s="13" t="s">
        <v>51</v>
      </c>
      <c r="B17" s="131" t="s">
        <v>52</v>
      </c>
      <c r="C17" s="32"/>
      <c r="D17" s="16" t="s">
        <v>53</v>
      </c>
      <c r="E17" s="20" t="s">
        <v>54</v>
      </c>
      <c r="F17" s="14" t="s">
        <v>55</v>
      </c>
      <c r="G17" s="20" t="s">
        <v>56</v>
      </c>
      <c r="H17" s="17"/>
      <c r="I17" s="14"/>
      <c r="J17" s="14" t="s">
        <v>855</v>
      </c>
      <c r="K17" s="33"/>
      <c r="L17" s="166" t="str">
        <f t="shared" si="0"/>
        <v>15/3/1981</v>
      </c>
      <c r="N17" s="4">
        <f t="shared" ca="1" si="1"/>
        <v>45</v>
      </c>
    </row>
    <row r="18" spans="1:14" s="4" customFormat="1" ht="51" x14ac:dyDescent="0.15">
      <c r="A18" s="13" t="s">
        <v>57</v>
      </c>
      <c r="B18" s="127" t="s">
        <v>58</v>
      </c>
      <c r="C18" s="13"/>
      <c r="D18" s="13" t="s">
        <v>59</v>
      </c>
      <c r="E18" s="19" t="s">
        <v>60</v>
      </c>
      <c r="F18" s="20" t="s">
        <v>27</v>
      </c>
      <c r="G18" s="19" t="s">
        <v>61</v>
      </c>
      <c r="H18" s="17"/>
      <c r="I18" s="10"/>
      <c r="J18" s="14" t="s">
        <v>856</v>
      </c>
      <c r="K18" s="33"/>
      <c r="L18" s="166" t="str">
        <f t="shared" si="0"/>
        <v>16/04/1979</v>
      </c>
      <c r="N18" s="4">
        <f t="shared" ca="1" si="1"/>
        <v>47</v>
      </c>
    </row>
    <row r="19" spans="1:14" s="4" customFormat="1" ht="68" x14ac:dyDescent="0.15">
      <c r="A19" s="13" t="s">
        <v>62</v>
      </c>
      <c r="B19" s="128" t="s">
        <v>63</v>
      </c>
      <c r="C19" s="16"/>
      <c r="D19" s="16" t="s">
        <v>64</v>
      </c>
      <c r="E19" s="20" t="s">
        <v>65</v>
      </c>
      <c r="F19" s="14"/>
      <c r="G19" s="14" t="s">
        <v>66</v>
      </c>
      <c r="H19" s="17"/>
      <c r="I19" s="10"/>
      <c r="J19" s="14" t="s">
        <v>856</v>
      </c>
      <c r="K19" s="33"/>
      <c r="L19" s="166" t="str">
        <f t="shared" si="0"/>
        <v>02/12/1981</v>
      </c>
      <c r="N19" s="4">
        <f t="shared" ca="1" si="1"/>
        <v>44</v>
      </c>
    </row>
    <row r="20" spans="1:14" s="4" customFormat="1" ht="51" x14ac:dyDescent="0.15">
      <c r="A20" s="13" t="s">
        <v>67</v>
      </c>
      <c r="B20" s="132" t="s">
        <v>68</v>
      </c>
      <c r="C20" s="31"/>
      <c r="D20" s="31" t="s">
        <v>69</v>
      </c>
      <c r="E20" s="20" t="s">
        <v>70</v>
      </c>
      <c r="F20" s="14" t="s">
        <v>71</v>
      </c>
      <c r="G20" s="20" t="s">
        <v>72</v>
      </c>
      <c r="H20" s="17"/>
      <c r="I20" s="10"/>
      <c r="J20" s="14" t="s">
        <v>856</v>
      </c>
      <c r="K20" s="33"/>
      <c r="L20" s="166" t="str">
        <f t="shared" si="0"/>
        <v>14/3/1979</v>
      </c>
      <c r="N20" s="4">
        <f t="shared" ca="1" si="1"/>
        <v>47</v>
      </c>
    </row>
    <row r="21" spans="1:14" s="4" customFormat="1" ht="68" x14ac:dyDescent="0.15">
      <c r="A21" s="13" t="s">
        <v>73</v>
      </c>
      <c r="B21" s="128" t="s">
        <v>74</v>
      </c>
      <c r="C21" s="15"/>
      <c r="D21" s="15" t="s">
        <v>75</v>
      </c>
      <c r="E21" s="20" t="s">
        <v>76</v>
      </c>
      <c r="F21" s="14"/>
      <c r="G21" s="20" t="s">
        <v>77</v>
      </c>
      <c r="H21" s="17"/>
      <c r="I21" s="10"/>
      <c r="J21" s="14" t="s">
        <v>857</v>
      </c>
      <c r="K21" s="33"/>
      <c r="L21" s="166" t="str">
        <f t="shared" si="0"/>
        <v>01/10/1991</v>
      </c>
      <c r="N21" s="4">
        <f t="shared" ca="1" si="1"/>
        <v>34</v>
      </c>
    </row>
    <row r="22" spans="1:14" s="4" customFormat="1" ht="89.25" customHeight="1" x14ac:dyDescent="0.15">
      <c r="A22" s="13" t="s">
        <v>78</v>
      </c>
      <c r="B22" s="128" t="s">
        <v>79</v>
      </c>
      <c r="C22" s="31"/>
      <c r="D22" s="31">
        <v>30956</v>
      </c>
      <c r="E22" s="20" t="s">
        <v>80</v>
      </c>
      <c r="F22" s="14" t="s">
        <v>81</v>
      </c>
      <c r="G22" s="20" t="s">
        <v>82</v>
      </c>
      <c r="H22" s="17"/>
      <c r="I22" s="10"/>
      <c r="J22" s="14" t="s">
        <v>857</v>
      </c>
      <c r="K22" s="33"/>
      <c r="L22" s="166">
        <f t="shared" si="0"/>
        <v>30956</v>
      </c>
      <c r="N22" s="4">
        <f t="shared" ca="1" si="1"/>
        <v>41</v>
      </c>
    </row>
    <row r="23" spans="1:14" s="4" customFormat="1" ht="31.5" customHeight="1" x14ac:dyDescent="0.15">
      <c r="A23" s="13" t="s">
        <v>83</v>
      </c>
      <c r="B23" s="128" t="s">
        <v>84</v>
      </c>
      <c r="C23" s="15" t="s">
        <v>85</v>
      </c>
      <c r="D23" s="33"/>
      <c r="E23" s="20" t="s">
        <v>86</v>
      </c>
      <c r="F23" s="14"/>
      <c r="G23" s="20" t="s">
        <v>87</v>
      </c>
      <c r="H23" s="17"/>
      <c r="I23" s="10"/>
      <c r="J23" s="14" t="s">
        <v>857</v>
      </c>
      <c r="K23" s="33"/>
      <c r="L23" s="166" t="str">
        <f t="shared" si="0"/>
        <v>11/04/1985</v>
      </c>
      <c r="N23" s="4">
        <f t="shared" ca="1" si="1"/>
        <v>41</v>
      </c>
    </row>
    <row r="24" spans="1:14" s="4" customFormat="1" ht="68" x14ac:dyDescent="0.15">
      <c r="A24" s="13" t="s">
        <v>88</v>
      </c>
      <c r="B24" s="128" t="s">
        <v>89</v>
      </c>
      <c r="C24" s="15"/>
      <c r="D24" s="15" t="s">
        <v>90</v>
      </c>
      <c r="E24" s="20" t="s">
        <v>91</v>
      </c>
      <c r="F24" s="14"/>
      <c r="G24" s="20" t="s">
        <v>92</v>
      </c>
      <c r="H24" s="17"/>
      <c r="I24" s="10"/>
      <c r="J24" s="14" t="s">
        <v>857</v>
      </c>
      <c r="K24" s="33"/>
      <c r="L24" s="166" t="str">
        <f t="shared" si="0"/>
        <v>17/11/1986</v>
      </c>
      <c r="N24" s="4">
        <f t="shared" ca="1" si="1"/>
        <v>39</v>
      </c>
    </row>
    <row r="25" spans="1:14" s="4" customFormat="1" ht="85" x14ac:dyDescent="0.15">
      <c r="A25" s="13" t="s">
        <v>93</v>
      </c>
      <c r="B25" s="128" t="s">
        <v>94</v>
      </c>
      <c r="C25" s="15" t="s">
        <v>95</v>
      </c>
      <c r="D25" s="33"/>
      <c r="E25" s="20" t="s">
        <v>96</v>
      </c>
      <c r="F25" s="14"/>
      <c r="G25" s="14" t="s">
        <v>97</v>
      </c>
      <c r="H25" s="17"/>
      <c r="I25" s="10"/>
      <c r="J25" s="14" t="s">
        <v>857</v>
      </c>
      <c r="K25" s="33"/>
      <c r="L25" s="166" t="str">
        <f t="shared" si="0"/>
        <v>17/7/1992</v>
      </c>
      <c r="N25" s="4">
        <f t="shared" ca="1" si="1"/>
        <v>33</v>
      </c>
    </row>
    <row r="26" spans="1:14" s="4" customFormat="1" ht="53.25" customHeight="1" x14ac:dyDescent="0.15">
      <c r="A26" s="13" t="s">
        <v>98</v>
      </c>
      <c r="B26" s="129" t="s">
        <v>99</v>
      </c>
      <c r="C26" s="35"/>
      <c r="D26" s="35" t="s">
        <v>100</v>
      </c>
      <c r="E26" s="19" t="s">
        <v>101</v>
      </c>
      <c r="F26" s="20"/>
      <c r="G26" s="19" t="s">
        <v>77</v>
      </c>
      <c r="H26" s="17"/>
      <c r="I26" s="10"/>
      <c r="J26" s="14" t="s">
        <v>857</v>
      </c>
      <c r="K26" s="33"/>
      <c r="L26" s="166" t="str">
        <f t="shared" si="0"/>
        <v>18/7/1986</v>
      </c>
      <c r="N26" s="4">
        <f t="shared" ca="1" si="1"/>
        <v>39</v>
      </c>
    </row>
    <row r="27" spans="1:14" s="4" customFormat="1" ht="86.25" customHeight="1" x14ac:dyDescent="0.15">
      <c r="A27" s="13" t="s">
        <v>102</v>
      </c>
      <c r="B27" s="132" t="s">
        <v>103</v>
      </c>
      <c r="C27" s="40"/>
      <c r="D27" s="40" t="s">
        <v>104</v>
      </c>
      <c r="E27" s="14" t="s">
        <v>105</v>
      </c>
      <c r="F27" s="14"/>
      <c r="G27" s="14" t="s">
        <v>106</v>
      </c>
      <c r="H27" s="17"/>
      <c r="I27" s="10"/>
      <c r="J27" s="14" t="s">
        <v>857</v>
      </c>
      <c r="K27" s="33"/>
      <c r="L27" s="166" t="str">
        <f t="shared" si="0"/>
        <v>19/2/1984</v>
      </c>
      <c r="N27" s="4">
        <f t="shared" ca="1" si="1"/>
        <v>42</v>
      </c>
    </row>
    <row r="28" spans="1:14" s="4" customFormat="1" ht="108" customHeight="1" x14ac:dyDescent="0.15">
      <c r="A28" s="13" t="s">
        <v>107</v>
      </c>
      <c r="B28" s="129" t="s">
        <v>108</v>
      </c>
      <c r="C28" s="35" t="s">
        <v>109</v>
      </c>
      <c r="D28" s="35"/>
      <c r="E28" s="17" t="s">
        <v>110</v>
      </c>
      <c r="F28" s="14" t="s">
        <v>111</v>
      </c>
      <c r="G28" s="36" t="s">
        <v>112</v>
      </c>
      <c r="H28" s="17"/>
      <c r="I28" s="10"/>
      <c r="J28" s="14" t="s">
        <v>857</v>
      </c>
      <c r="K28" s="33"/>
      <c r="L28" s="166" t="str">
        <f t="shared" si="0"/>
        <v>20/8/1981</v>
      </c>
      <c r="N28" s="4">
        <f t="shared" ca="1" si="1"/>
        <v>44</v>
      </c>
    </row>
    <row r="29" spans="1:14" s="4" customFormat="1" ht="108" customHeight="1" x14ac:dyDescent="0.15">
      <c r="A29" s="13" t="s">
        <v>1356</v>
      </c>
      <c r="B29" s="34" t="s">
        <v>1359</v>
      </c>
      <c r="C29" s="35" t="s">
        <v>109</v>
      </c>
      <c r="D29" s="35"/>
      <c r="E29" s="14" t="s">
        <v>110</v>
      </c>
      <c r="F29" s="14"/>
      <c r="G29" s="36"/>
      <c r="H29" s="17"/>
      <c r="I29" s="10"/>
      <c r="J29" s="14" t="s">
        <v>857</v>
      </c>
      <c r="K29" s="33"/>
      <c r="L29" s="166" t="str">
        <f t="shared" si="0"/>
        <v>20/8/1981</v>
      </c>
      <c r="N29" s="4">
        <f t="shared" ca="1" si="1"/>
        <v>44</v>
      </c>
    </row>
    <row r="30" spans="1:14" s="4" customFormat="1" ht="51" x14ac:dyDescent="0.15">
      <c r="A30" s="13" t="s">
        <v>1370</v>
      </c>
      <c r="B30" s="34" t="s">
        <v>1371</v>
      </c>
      <c r="C30" s="116" t="s">
        <v>1372</v>
      </c>
      <c r="D30" s="35"/>
      <c r="E30" s="14" t="s">
        <v>1373</v>
      </c>
      <c r="F30" s="14" t="s">
        <v>1374</v>
      </c>
      <c r="G30" s="36" t="s">
        <v>1375</v>
      </c>
      <c r="H30" s="17"/>
      <c r="I30" s="10"/>
      <c r="J30" s="14" t="s">
        <v>857</v>
      </c>
      <c r="K30" s="33"/>
      <c r="L30" s="166" t="str">
        <f t="shared" si="0"/>
        <v>09/9/1992</v>
      </c>
      <c r="N30" s="4">
        <f t="shared" ca="1" si="1"/>
        <v>33</v>
      </c>
    </row>
    <row r="31" spans="1:14" s="4" customFormat="1" ht="16" x14ac:dyDescent="0.15">
      <c r="A31" s="12" t="s">
        <v>113</v>
      </c>
      <c r="B31" s="134" t="s">
        <v>907</v>
      </c>
      <c r="C31" s="134"/>
      <c r="D31" s="134"/>
      <c r="E31" s="134"/>
      <c r="F31" s="134"/>
      <c r="G31" s="134"/>
      <c r="H31" s="134"/>
      <c r="I31" s="134"/>
      <c r="J31" s="134"/>
      <c r="K31" s="134"/>
      <c r="L31" s="166"/>
    </row>
    <row r="32" spans="1:14" s="4" customFormat="1" ht="84.75" customHeight="1" x14ac:dyDescent="0.15">
      <c r="A32" s="13" t="s">
        <v>114</v>
      </c>
      <c r="B32" s="127" t="s">
        <v>115</v>
      </c>
      <c r="C32" s="13"/>
      <c r="D32" s="13" t="s">
        <v>116</v>
      </c>
      <c r="E32" s="37" t="s">
        <v>117</v>
      </c>
      <c r="F32" s="23" t="s">
        <v>118</v>
      </c>
      <c r="G32" s="37" t="s">
        <v>77</v>
      </c>
      <c r="H32" s="17"/>
      <c r="I32" s="10"/>
      <c r="J32" s="14" t="s">
        <v>859</v>
      </c>
      <c r="K32" s="33"/>
      <c r="L32" s="166" t="str">
        <f t="shared" si="0"/>
        <v>05/08/1975</v>
      </c>
      <c r="N32" s="4">
        <f t="shared" ca="1" si="1"/>
        <v>50</v>
      </c>
    </row>
    <row r="33" spans="1:14" s="4" customFormat="1" ht="51" x14ac:dyDescent="0.15">
      <c r="A33" s="13" t="s">
        <v>119</v>
      </c>
      <c r="B33" s="128" t="s">
        <v>120</v>
      </c>
      <c r="C33" s="15"/>
      <c r="D33" s="15" t="s">
        <v>121</v>
      </c>
      <c r="E33" s="20" t="s">
        <v>122</v>
      </c>
      <c r="F33" s="14" t="s">
        <v>123</v>
      </c>
      <c r="G33" s="20" t="s">
        <v>124</v>
      </c>
      <c r="H33" s="17"/>
      <c r="I33" s="10"/>
      <c r="J33" s="14" t="s">
        <v>860</v>
      </c>
      <c r="K33" s="33"/>
      <c r="L33" s="166" t="str">
        <f t="shared" si="0"/>
        <v>28/10/1982</v>
      </c>
      <c r="N33" s="4">
        <f t="shared" ca="1" si="1"/>
        <v>43</v>
      </c>
    </row>
    <row r="34" spans="1:14" s="4" customFormat="1" ht="51" customHeight="1" x14ac:dyDescent="0.15">
      <c r="A34" s="13" t="s">
        <v>125</v>
      </c>
      <c r="B34" s="127" t="s">
        <v>126</v>
      </c>
      <c r="C34" s="13"/>
      <c r="D34" s="13" t="s">
        <v>127</v>
      </c>
      <c r="E34" s="17" t="s">
        <v>128</v>
      </c>
      <c r="F34" s="20" t="s">
        <v>129</v>
      </c>
      <c r="G34" s="19" t="s">
        <v>87</v>
      </c>
      <c r="H34" s="17"/>
      <c r="I34" s="10"/>
      <c r="J34" s="14" t="s">
        <v>860</v>
      </c>
      <c r="K34" s="33"/>
      <c r="L34" s="166" t="str">
        <f t="shared" si="0"/>
        <v>30/08/1975</v>
      </c>
      <c r="N34" s="4">
        <f t="shared" ca="1" si="1"/>
        <v>50</v>
      </c>
    </row>
    <row r="35" spans="1:14" s="4" customFormat="1" ht="51" x14ac:dyDescent="0.15">
      <c r="A35" s="13" t="s">
        <v>130</v>
      </c>
      <c r="B35" s="129" t="s">
        <v>131</v>
      </c>
      <c r="C35" s="35"/>
      <c r="D35" s="35" t="s">
        <v>132</v>
      </c>
      <c r="E35" s="19" t="s">
        <v>133</v>
      </c>
      <c r="F35" s="14"/>
      <c r="G35" s="19" t="s">
        <v>77</v>
      </c>
      <c r="H35" s="17"/>
      <c r="I35" s="10"/>
      <c r="J35" s="14" t="s">
        <v>861</v>
      </c>
      <c r="K35" s="33"/>
      <c r="L35" s="166" t="str">
        <f t="shared" si="0"/>
        <v>03/7/1980</v>
      </c>
      <c r="N35" s="4">
        <f t="shared" ca="1" si="1"/>
        <v>45</v>
      </c>
    </row>
    <row r="36" spans="1:14" s="4" customFormat="1" ht="85" x14ac:dyDescent="0.15">
      <c r="A36" s="13" t="s">
        <v>134</v>
      </c>
      <c r="B36" s="127" t="s">
        <v>135</v>
      </c>
      <c r="C36" s="13"/>
      <c r="D36" s="13" t="s">
        <v>136</v>
      </c>
      <c r="E36" s="19" t="s">
        <v>137</v>
      </c>
      <c r="F36" s="14"/>
      <c r="G36" s="19" t="s">
        <v>138</v>
      </c>
      <c r="H36" s="17"/>
      <c r="I36" s="10"/>
      <c r="J36" s="20" t="s">
        <v>862</v>
      </c>
      <c r="K36" s="33"/>
      <c r="L36" s="166" t="str">
        <f t="shared" si="0"/>
        <v>20/02/1988</v>
      </c>
      <c r="N36" s="4">
        <f t="shared" ca="1" si="1"/>
        <v>38</v>
      </c>
    </row>
    <row r="37" spans="1:14" s="4" customFormat="1" ht="68" x14ac:dyDescent="0.15">
      <c r="A37" s="13" t="s">
        <v>139</v>
      </c>
      <c r="B37" s="128" t="s">
        <v>140</v>
      </c>
      <c r="C37" s="31" t="s">
        <v>141</v>
      </c>
      <c r="D37" s="33"/>
      <c r="E37" s="20" t="s">
        <v>142</v>
      </c>
      <c r="F37" s="14"/>
      <c r="G37" s="20" t="s">
        <v>143</v>
      </c>
      <c r="H37" s="17"/>
      <c r="I37" s="10"/>
      <c r="J37" s="20" t="s">
        <v>863</v>
      </c>
      <c r="K37" s="33"/>
      <c r="L37" s="166" t="str">
        <f t="shared" si="0"/>
        <v>20/11/1987</v>
      </c>
      <c r="N37" s="4">
        <f t="shared" ca="1" si="1"/>
        <v>38</v>
      </c>
    </row>
    <row r="38" spans="1:14" s="4" customFormat="1" ht="85" x14ac:dyDescent="0.15">
      <c r="A38" s="13" t="s">
        <v>144</v>
      </c>
      <c r="B38" s="127" t="s">
        <v>145</v>
      </c>
      <c r="C38" s="13"/>
      <c r="D38" s="13" t="s">
        <v>146</v>
      </c>
      <c r="E38" s="19" t="s">
        <v>147</v>
      </c>
      <c r="F38" s="20" t="s">
        <v>148</v>
      </c>
      <c r="G38" s="19" t="s">
        <v>149</v>
      </c>
      <c r="H38" s="17"/>
      <c r="I38" s="10"/>
      <c r="J38" s="20" t="s">
        <v>863</v>
      </c>
      <c r="K38" s="33"/>
      <c r="L38" s="166" t="str">
        <f t="shared" si="0"/>
        <v>30/05/1983</v>
      </c>
      <c r="N38" s="4">
        <f t="shared" ca="1" si="1"/>
        <v>43</v>
      </c>
    </row>
    <row r="39" spans="1:14" s="4" customFormat="1" ht="68" x14ac:dyDescent="0.15">
      <c r="A39" s="13" t="s">
        <v>150</v>
      </c>
      <c r="B39" s="128" t="s">
        <v>151</v>
      </c>
      <c r="C39" s="15"/>
      <c r="D39" s="15" t="s">
        <v>152</v>
      </c>
      <c r="E39" s="20" t="s">
        <v>153</v>
      </c>
      <c r="F39" s="14"/>
      <c r="G39" s="20" t="s">
        <v>154</v>
      </c>
      <c r="H39" s="17"/>
      <c r="I39" s="10"/>
      <c r="J39" s="20" t="s">
        <v>863</v>
      </c>
      <c r="K39" s="33"/>
      <c r="L39" s="166" t="str">
        <f t="shared" si="0"/>
        <v>09/03/1983</v>
      </c>
      <c r="N39" s="4">
        <f t="shared" ca="1" si="1"/>
        <v>43</v>
      </c>
    </row>
    <row r="40" spans="1:14" s="4" customFormat="1" ht="34" x14ac:dyDescent="0.15">
      <c r="A40" s="13" t="s">
        <v>906</v>
      </c>
      <c r="B40" s="130" t="s">
        <v>902</v>
      </c>
      <c r="C40" s="15"/>
      <c r="D40" s="15" t="s">
        <v>903</v>
      </c>
      <c r="E40" s="20"/>
      <c r="F40" s="14" t="s">
        <v>905</v>
      </c>
      <c r="G40" s="20" t="s">
        <v>904</v>
      </c>
      <c r="H40" s="17"/>
      <c r="I40" s="10"/>
      <c r="J40" s="20" t="s">
        <v>863</v>
      </c>
      <c r="K40" s="33"/>
      <c r="L40" s="166" t="str">
        <f t="shared" si="0"/>
        <v>02/6/1987</v>
      </c>
      <c r="N40" s="4">
        <f t="shared" ca="1" si="1"/>
        <v>39</v>
      </c>
    </row>
    <row r="41" spans="1:14" s="4" customFormat="1" ht="16" x14ac:dyDescent="0.15">
      <c r="A41" s="12" t="s">
        <v>155</v>
      </c>
      <c r="B41" s="135" t="s">
        <v>156</v>
      </c>
      <c r="C41" s="135"/>
      <c r="D41" s="135"/>
      <c r="E41" s="135"/>
      <c r="F41" s="135"/>
      <c r="G41" s="135"/>
      <c r="H41" s="135"/>
      <c r="I41" s="135"/>
      <c r="J41" s="135"/>
      <c r="K41" s="135"/>
      <c r="L41" s="166"/>
    </row>
    <row r="42" spans="1:14" s="4" customFormat="1" ht="102" x14ac:dyDescent="0.15">
      <c r="A42" s="13" t="s">
        <v>157</v>
      </c>
      <c r="B42" s="131" t="s">
        <v>158</v>
      </c>
      <c r="C42" s="15" t="s">
        <v>159</v>
      </c>
      <c r="D42" s="21"/>
      <c r="E42" s="20" t="s">
        <v>160</v>
      </c>
      <c r="F42" s="20" t="s">
        <v>161</v>
      </c>
      <c r="G42" s="20" t="s">
        <v>162</v>
      </c>
      <c r="H42" s="17"/>
      <c r="I42" s="10"/>
      <c r="J42" s="14" t="s">
        <v>859</v>
      </c>
      <c r="K42" s="33"/>
      <c r="L42" s="166" t="str">
        <f t="shared" si="0"/>
        <v>01/12/1979</v>
      </c>
      <c r="N42" s="4">
        <f t="shared" ca="1" si="1"/>
        <v>46</v>
      </c>
    </row>
    <row r="43" spans="1:14" s="4" customFormat="1" ht="85" x14ac:dyDescent="0.15">
      <c r="A43" s="13" t="s">
        <v>163</v>
      </c>
      <c r="B43" s="132" t="s">
        <v>164</v>
      </c>
      <c r="C43" s="39"/>
      <c r="D43" s="39" t="s">
        <v>165</v>
      </c>
      <c r="E43" s="20" t="s">
        <v>166</v>
      </c>
      <c r="F43" s="14" t="s">
        <v>167</v>
      </c>
      <c r="G43" s="20" t="s">
        <v>168</v>
      </c>
      <c r="H43" s="17"/>
      <c r="I43" s="10"/>
      <c r="J43" s="14" t="s">
        <v>860</v>
      </c>
      <c r="K43" s="33"/>
      <c r="L43" s="166" t="str">
        <f t="shared" si="0"/>
        <v>10/8/1986</v>
      </c>
      <c r="N43" s="4">
        <f t="shared" ca="1" si="1"/>
        <v>39</v>
      </c>
    </row>
    <row r="44" spans="1:14" s="4" customFormat="1" ht="68" x14ac:dyDescent="0.15">
      <c r="A44" s="13" t="s">
        <v>169</v>
      </c>
      <c r="B44" s="128" t="s">
        <v>170</v>
      </c>
      <c r="C44" s="32" t="s">
        <v>171</v>
      </c>
      <c r="D44" s="33"/>
      <c r="E44" s="20" t="s">
        <v>172</v>
      </c>
      <c r="F44" s="14" t="s">
        <v>173</v>
      </c>
      <c r="G44" s="14" t="s">
        <v>174</v>
      </c>
      <c r="H44" s="17"/>
      <c r="I44" s="10"/>
      <c r="J44" s="14" t="s">
        <v>860</v>
      </c>
      <c r="K44" s="33"/>
      <c r="L44" s="166" t="str">
        <f t="shared" si="0"/>
        <v>18/12/1979</v>
      </c>
      <c r="N44" s="4">
        <f t="shared" ca="1" si="1"/>
        <v>46</v>
      </c>
    </row>
    <row r="45" spans="1:14" s="4" customFormat="1" ht="68" x14ac:dyDescent="0.15">
      <c r="A45" s="13" t="s">
        <v>175</v>
      </c>
      <c r="B45" s="128" t="s">
        <v>176</v>
      </c>
      <c r="C45" s="15" t="s">
        <v>177</v>
      </c>
      <c r="D45" s="33"/>
      <c r="E45" s="20" t="s">
        <v>178</v>
      </c>
      <c r="F45" s="20" t="s">
        <v>179</v>
      </c>
      <c r="G45" s="20" t="s">
        <v>180</v>
      </c>
      <c r="H45" s="17"/>
      <c r="I45" s="10"/>
      <c r="J45" s="14" t="s">
        <v>860</v>
      </c>
      <c r="K45" s="33"/>
      <c r="L45" s="166" t="str">
        <f t="shared" si="0"/>
        <v>04/07/1980</v>
      </c>
      <c r="N45" s="4">
        <f t="shared" ca="1" si="1"/>
        <v>45</v>
      </c>
    </row>
    <row r="46" spans="1:14" s="4" customFormat="1" ht="85" x14ac:dyDescent="0.15">
      <c r="A46" s="13" t="s">
        <v>181</v>
      </c>
      <c r="B46" s="127" t="s">
        <v>182</v>
      </c>
      <c r="C46" s="13"/>
      <c r="D46" s="13" t="s">
        <v>183</v>
      </c>
      <c r="E46" s="37" t="s">
        <v>184</v>
      </c>
      <c r="F46" s="23" t="s">
        <v>185</v>
      </c>
      <c r="G46" s="37" t="s">
        <v>186</v>
      </c>
      <c r="H46" s="17"/>
      <c r="I46" s="10"/>
      <c r="J46" s="14" t="s">
        <v>860</v>
      </c>
      <c r="K46" s="33"/>
      <c r="L46" s="166" t="str">
        <f t="shared" si="0"/>
        <v>21/04/1974</v>
      </c>
      <c r="N46" s="4">
        <f t="shared" ca="1" si="1"/>
        <v>52</v>
      </c>
    </row>
    <row r="47" spans="1:14" s="4" customFormat="1" ht="68" x14ac:dyDescent="0.15">
      <c r="A47" s="13" t="s">
        <v>187</v>
      </c>
      <c r="B47" s="127" t="s">
        <v>188</v>
      </c>
      <c r="C47" s="13"/>
      <c r="D47" s="13" t="s">
        <v>189</v>
      </c>
      <c r="E47" s="37" t="s">
        <v>190</v>
      </c>
      <c r="F47" s="23" t="s">
        <v>27</v>
      </c>
      <c r="G47" s="37" t="s">
        <v>191</v>
      </c>
      <c r="H47" s="17"/>
      <c r="I47" s="10"/>
      <c r="J47" s="38" t="s">
        <v>863</v>
      </c>
      <c r="K47" s="33"/>
      <c r="L47" s="166" t="str">
        <f t="shared" si="0"/>
        <v>03/10/1975</v>
      </c>
      <c r="N47" s="4">
        <f t="shared" ca="1" si="1"/>
        <v>50</v>
      </c>
    </row>
    <row r="48" spans="1:14" s="4" customFormat="1" ht="31.5" customHeight="1" x14ac:dyDescent="0.15">
      <c r="A48" s="13" t="s">
        <v>192</v>
      </c>
      <c r="B48" s="128" t="s">
        <v>193</v>
      </c>
      <c r="C48" s="15"/>
      <c r="D48" s="15" t="s">
        <v>194</v>
      </c>
      <c r="E48" s="20" t="s">
        <v>195</v>
      </c>
      <c r="F48" s="14"/>
      <c r="G48" s="20" t="s">
        <v>196</v>
      </c>
      <c r="H48" s="17"/>
      <c r="I48" s="10"/>
      <c r="J48" s="38" t="s">
        <v>863</v>
      </c>
      <c r="K48" s="33"/>
      <c r="L48" s="166" t="str">
        <f t="shared" si="0"/>
        <v>19/02/1985</v>
      </c>
      <c r="N48" s="4">
        <f t="shared" ca="1" si="1"/>
        <v>41</v>
      </c>
    </row>
    <row r="49" spans="1:14" s="4" customFormat="1" ht="51" x14ac:dyDescent="0.15">
      <c r="A49" s="13" t="s">
        <v>197</v>
      </c>
      <c r="B49" s="128" t="s">
        <v>198</v>
      </c>
      <c r="C49" s="15"/>
      <c r="D49" s="15" t="s">
        <v>199</v>
      </c>
      <c r="E49" s="20" t="s">
        <v>200</v>
      </c>
      <c r="F49" s="14"/>
      <c r="G49" s="20" t="s">
        <v>201</v>
      </c>
      <c r="H49" s="17"/>
      <c r="I49" s="10"/>
      <c r="J49" s="38" t="s">
        <v>863</v>
      </c>
      <c r="K49" s="33"/>
      <c r="L49" s="166" t="str">
        <f t="shared" si="0"/>
        <v>09/07/1990</v>
      </c>
      <c r="N49" s="4">
        <f t="shared" ca="1" si="1"/>
        <v>35</v>
      </c>
    </row>
    <row r="50" spans="1:14" s="4" customFormat="1" ht="85" x14ac:dyDescent="0.15">
      <c r="A50" s="13" t="s">
        <v>202</v>
      </c>
      <c r="B50" s="128" t="s">
        <v>203</v>
      </c>
      <c r="C50" s="15"/>
      <c r="D50" s="15" t="s">
        <v>204</v>
      </c>
      <c r="E50" s="20" t="s">
        <v>205</v>
      </c>
      <c r="F50" s="14"/>
      <c r="G50" s="20" t="s">
        <v>206</v>
      </c>
      <c r="H50" s="17"/>
      <c r="I50" s="10"/>
      <c r="J50" s="38" t="s">
        <v>863</v>
      </c>
      <c r="K50" s="33"/>
      <c r="L50" s="166" t="str">
        <f t="shared" si="0"/>
        <v>14/10/2001</v>
      </c>
      <c r="N50" s="4">
        <f t="shared" ca="1" si="1"/>
        <v>24</v>
      </c>
    </row>
    <row r="51" spans="1:14" s="4" customFormat="1" ht="51" x14ac:dyDescent="0.15">
      <c r="A51" s="13" t="s">
        <v>207</v>
      </c>
      <c r="B51" s="128" t="s">
        <v>208</v>
      </c>
      <c r="C51" s="40"/>
      <c r="D51" s="40" t="s">
        <v>209</v>
      </c>
      <c r="E51" s="20" t="s">
        <v>210</v>
      </c>
      <c r="F51" s="14"/>
      <c r="G51" s="20" t="s">
        <v>211</v>
      </c>
      <c r="H51" s="17"/>
      <c r="I51" s="10"/>
      <c r="J51" s="38" t="s">
        <v>863</v>
      </c>
      <c r="K51" s="33"/>
      <c r="L51" s="166" t="str">
        <f t="shared" si="0"/>
        <v>15/2/1990</v>
      </c>
      <c r="N51" s="4">
        <f t="shared" ca="1" si="1"/>
        <v>36</v>
      </c>
    </row>
    <row r="52" spans="1:14" s="4" customFormat="1" ht="16" x14ac:dyDescent="0.15">
      <c r="A52" s="12" t="s">
        <v>212</v>
      </c>
      <c r="B52" s="134" t="s">
        <v>213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66"/>
    </row>
    <row r="53" spans="1:14" s="4" customFormat="1" ht="102" x14ac:dyDescent="0.15">
      <c r="A53" s="13" t="s">
        <v>214</v>
      </c>
      <c r="B53" s="127" t="s">
        <v>215</v>
      </c>
      <c r="C53" s="13" t="s">
        <v>216</v>
      </c>
      <c r="D53" s="21"/>
      <c r="E53" s="37" t="s">
        <v>217</v>
      </c>
      <c r="F53" s="23" t="s">
        <v>218</v>
      </c>
      <c r="G53" s="37" t="s">
        <v>149</v>
      </c>
      <c r="H53" s="41"/>
      <c r="I53" s="33"/>
      <c r="J53" s="38" t="s">
        <v>859</v>
      </c>
      <c r="K53" s="33"/>
      <c r="L53" s="166" t="str">
        <f t="shared" si="0"/>
        <v>02/01/1975</v>
      </c>
      <c r="N53" s="4">
        <f t="shared" ca="1" si="1"/>
        <v>51</v>
      </c>
    </row>
    <row r="54" spans="1:14" s="4" customFormat="1" ht="50.25" customHeight="1" x14ac:dyDescent="0.15">
      <c r="A54" s="117" t="s">
        <v>219</v>
      </c>
      <c r="B54" s="132" t="s">
        <v>220</v>
      </c>
      <c r="C54" s="123" t="s">
        <v>221</v>
      </c>
      <c r="D54" s="122"/>
      <c r="E54" s="120" t="s">
        <v>222</v>
      </c>
      <c r="F54" s="120"/>
      <c r="G54" s="120" t="s">
        <v>223</v>
      </c>
      <c r="H54" s="118"/>
      <c r="I54" s="121"/>
      <c r="J54" s="126" t="s">
        <v>860</v>
      </c>
      <c r="K54" s="122"/>
      <c r="L54" s="166" t="str">
        <f t="shared" si="0"/>
        <v>10/8/1978</v>
      </c>
      <c r="N54" s="4">
        <f t="shared" ca="1" si="1"/>
        <v>47</v>
      </c>
    </row>
    <row r="55" spans="1:14" s="4" customFormat="1" ht="51" x14ac:dyDescent="0.15">
      <c r="A55" s="13" t="s">
        <v>224</v>
      </c>
      <c r="B55" s="128" t="s">
        <v>225</v>
      </c>
      <c r="C55" s="24"/>
      <c r="D55" s="24" t="s">
        <v>226</v>
      </c>
      <c r="E55" s="20" t="s">
        <v>227</v>
      </c>
      <c r="F55" s="20" t="s">
        <v>228</v>
      </c>
      <c r="G55" s="20" t="s">
        <v>92</v>
      </c>
      <c r="H55" s="17"/>
      <c r="I55" s="10"/>
      <c r="J55" s="38" t="s">
        <v>860</v>
      </c>
      <c r="K55" s="33"/>
      <c r="L55" s="166" t="str">
        <f t="shared" si="0"/>
        <v>04/04/1981</v>
      </c>
      <c r="N55" s="4">
        <f t="shared" ca="1" si="1"/>
        <v>45</v>
      </c>
    </row>
    <row r="56" spans="1:14" s="4" customFormat="1" ht="68" x14ac:dyDescent="0.15">
      <c r="A56" s="13" t="s">
        <v>229</v>
      </c>
      <c r="B56" s="127" t="s">
        <v>230</v>
      </c>
      <c r="C56" s="13"/>
      <c r="D56" s="13" t="s">
        <v>231</v>
      </c>
      <c r="E56" s="19" t="s">
        <v>232</v>
      </c>
      <c r="F56" s="19" t="s">
        <v>233</v>
      </c>
      <c r="G56" s="19" t="s">
        <v>234</v>
      </c>
      <c r="H56" s="17"/>
      <c r="I56" s="10"/>
      <c r="J56" s="20" t="s">
        <v>863</v>
      </c>
      <c r="K56" s="33"/>
      <c r="L56" s="166" t="str">
        <f t="shared" si="0"/>
        <v>06/11/1981</v>
      </c>
      <c r="N56" s="4">
        <f t="shared" ca="1" si="1"/>
        <v>44</v>
      </c>
    </row>
    <row r="57" spans="1:14" s="4" customFormat="1" ht="102" x14ac:dyDescent="0.15">
      <c r="A57" s="13" t="s">
        <v>235</v>
      </c>
      <c r="B57" s="128" t="s">
        <v>236</v>
      </c>
      <c r="C57" s="16"/>
      <c r="D57" s="16" t="s">
        <v>237</v>
      </c>
      <c r="E57" s="20" t="s">
        <v>238</v>
      </c>
      <c r="F57" s="20" t="s">
        <v>239</v>
      </c>
      <c r="G57" s="20" t="s">
        <v>56</v>
      </c>
      <c r="H57" s="17"/>
      <c r="I57" s="10"/>
      <c r="J57" s="20" t="s">
        <v>863</v>
      </c>
      <c r="K57" s="33"/>
      <c r="L57" s="166" t="str">
        <f t="shared" si="0"/>
        <v>01/08/1986</v>
      </c>
      <c r="N57" s="4">
        <f t="shared" ca="1" si="1"/>
        <v>39</v>
      </c>
    </row>
    <row r="58" spans="1:14" s="4" customFormat="1" ht="85" x14ac:dyDescent="0.15">
      <c r="A58" s="13" t="s">
        <v>240</v>
      </c>
      <c r="B58" s="131" t="s">
        <v>241</v>
      </c>
      <c r="C58" s="15" t="s">
        <v>242</v>
      </c>
      <c r="D58" s="33"/>
      <c r="E58" s="20" t="s">
        <v>243</v>
      </c>
      <c r="F58" s="20" t="s">
        <v>244</v>
      </c>
      <c r="G58" s="20" t="s">
        <v>168</v>
      </c>
      <c r="H58" s="17"/>
      <c r="I58" s="10"/>
      <c r="J58" s="20" t="s">
        <v>863</v>
      </c>
      <c r="K58" s="33"/>
      <c r="L58" s="166" t="str">
        <f t="shared" si="0"/>
        <v>26/08/1991</v>
      </c>
      <c r="N58" s="4">
        <f t="shared" ca="1" si="1"/>
        <v>34</v>
      </c>
    </row>
    <row r="59" spans="1:14" s="4" customFormat="1" ht="102" x14ac:dyDescent="0.15">
      <c r="A59" s="117" t="s">
        <v>245</v>
      </c>
      <c r="B59" s="127" t="s">
        <v>246</v>
      </c>
      <c r="C59" s="117"/>
      <c r="D59" s="117" t="s">
        <v>247</v>
      </c>
      <c r="E59" s="119" t="s">
        <v>248</v>
      </c>
      <c r="F59" s="120" t="s">
        <v>249</v>
      </c>
      <c r="G59" s="119" t="s">
        <v>250</v>
      </c>
      <c r="H59" s="120"/>
      <c r="I59" s="121"/>
      <c r="J59" s="120" t="s">
        <v>863</v>
      </c>
      <c r="K59" s="122"/>
      <c r="L59" s="166" t="str">
        <f t="shared" si="0"/>
        <v>12/08/1982</v>
      </c>
      <c r="N59" s="4">
        <f t="shared" ca="1" si="1"/>
        <v>43</v>
      </c>
    </row>
    <row r="60" spans="1:14" s="4" customFormat="1" ht="54" customHeight="1" x14ac:dyDescent="0.15">
      <c r="A60" s="13" t="s">
        <v>251</v>
      </c>
      <c r="B60" s="128" t="s">
        <v>252</v>
      </c>
      <c r="C60" s="15" t="s">
        <v>253</v>
      </c>
      <c r="D60" s="33"/>
      <c r="E60" s="20" t="s">
        <v>254</v>
      </c>
      <c r="F60" s="14"/>
      <c r="G60" s="14" t="s">
        <v>255</v>
      </c>
      <c r="H60" s="17"/>
      <c r="I60" s="10"/>
      <c r="J60" s="20" t="s">
        <v>863</v>
      </c>
      <c r="K60" s="33"/>
      <c r="L60" s="166" t="str">
        <f t="shared" si="0"/>
        <v>01/07/1984</v>
      </c>
      <c r="N60" s="4">
        <f t="shared" ca="1" si="1"/>
        <v>41</v>
      </c>
    </row>
    <row r="61" spans="1:14" s="4" customFormat="1" ht="77.25" customHeight="1" x14ac:dyDescent="0.15">
      <c r="A61" s="117" t="s">
        <v>256</v>
      </c>
      <c r="B61" s="132" t="s">
        <v>257</v>
      </c>
      <c r="C61" s="123"/>
      <c r="D61" s="124" t="s">
        <v>258</v>
      </c>
      <c r="E61" s="120" t="s">
        <v>259</v>
      </c>
      <c r="F61" s="120"/>
      <c r="G61" s="120" t="s">
        <v>260</v>
      </c>
      <c r="H61" s="118"/>
      <c r="I61" s="121"/>
      <c r="J61" s="120" t="s">
        <v>863</v>
      </c>
      <c r="K61" s="122"/>
      <c r="L61" s="166" t="str">
        <f t="shared" si="0"/>
        <v>25/02/1979</v>
      </c>
      <c r="N61" s="4">
        <f t="shared" ca="1" si="1"/>
        <v>47</v>
      </c>
    </row>
    <row r="62" spans="1:14" s="4" customFormat="1" ht="90" customHeight="1" x14ac:dyDescent="0.15">
      <c r="A62" s="117" t="s">
        <v>261</v>
      </c>
      <c r="B62" s="128" t="s">
        <v>262</v>
      </c>
      <c r="C62" s="125" t="s">
        <v>263</v>
      </c>
      <c r="D62" s="122"/>
      <c r="E62" s="120" t="s">
        <v>264</v>
      </c>
      <c r="F62" s="120" t="s">
        <v>265</v>
      </c>
      <c r="G62" s="120" t="s">
        <v>266</v>
      </c>
      <c r="H62" s="118"/>
      <c r="I62" s="121"/>
      <c r="J62" s="120" t="s">
        <v>863</v>
      </c>
      <c r="K62" s="122"/>
      <c r="L62" s="166" t="str">
        <f t="shared" si="0"/>
        <v>20/06/1982</v>
      </c>
      <c r="N62" s="4">
        <f t="shared" ca="1" si="1"/>
        <v>43</v>
      </c>
    </row>
    <row r="63" spans="1:14" s="4" customFormat="1" ht="16" x14ac:dyDescent="0.15">
      <c r="A63" s="12" t="s">
        <v>267</v>
      </c>
      <c r="B63" s="135" t="s">
        <v>908</v>
      </c>
      <c r="C63" s="135"/>
      <c r="D63" s="135"/>
      <c r="E63" s="135"/>
      <c r="F63" s="135"/>
      <c r="G63" s="135"/>
      <c r="H63" s="135"/>
      <c r="I63" s="135"/>
      <c r="J63" s="135"/>
      <c r="K63" s="135"/>
      <c r="L63" s="166"/>
    </row>
    <row r="64" spans="1:14" s="4" customFormat="1" ht="136" x14ac:dyDescent="0.15">
      <c r="A64" s="13" t="s">
        <v>268</v>
      </c>
      <c r="B64" s="128" t="s">
        <v>269</v>
      </c>
      <c r="C64" s="15" t="s">
        <v>270</v>
      </c>
      <c r="D64" s="33"/>
      <c r="E64" s="20" t="s">
        <v>271</v>
      </c>
      <c r="F64" s="14"/>
      <c r="G64" s="20" t="s">
        <v>272</v>
      </c>
      <c r="H64" s="17"/>
      <c r="I64" s="10"/>
      <c r="J64" s="14" t="s">
        <v>859</v>
      </c>
      <c r="K64" s="33"/>
      <c r="L64" s="166" t="str">
        <f t="shared" si="0"/>
        <v>16/4/1980</v>
      </c>
      <c r="N64" s="4">
        <f t="shared" ca="1" si="1"/>
        <v>46</v>
      </c>
    </row>
    <row r="65" spans="1:18" s="4" customFormat="1" ht="85" x14ac:dyDescent="0.15">
      <c r="A65" s="13" t="s">
        <v>273</v>
      </c>
      <c r="B65" s="128" t="s">
        <v>275</v>
      </c>
      <c r="C65" s="15" t="s">
        <v>276</v>
      </c>
      <c r="D65" s="33"/>
      <c r="E65" s="20" t="s">
        <v>277</v>
      </c>
      <c r="F65" s="14"/>
      <c r="G65" s="20" t="s">
        <v>278</v>
      </c>
      <c r="H65" s="17"/>
      <c r="I65" s="10"/>
      <c r="J65" s="14" t="s">
        <v>860</v>
      </c>
      <c r="K65" s="33"/>
      <c r="L65" s="166" t="str">
        <f t="shared" si="0"/>
        <v>01/02/1978</v>
      </c>
      <c r="N65" s="4">
        <f t="shared" ca="1" si="1"/>
        <v>48</v>
      </c>
    </row>
    <row r="66" spans="1:18" s="4" customFormat="1" ht="60.75" customHeight="1" x14ac:dyDescent="0.15">
      <c r="A66" s="13" t="s">
        <v>274</v>
      </c>
      <c r="B66" s="133" t="s">
        <v>280</v>
      </c>
      <c r="C66" s="40" t="s">
        <v>281</v>
      </c>
      <c r="D66" s="33"/>
      <c r="E66" s="19" t="s">
        <v>282</v>
      </c>
      <c r="F66" s="20" t="s">
        <v>283</v>
      </c>
      <c r="G66" s="20" t="s">
        <v>92</v>
      </c>
      <c r="H66" s="14"/>
      <c r="I66" s="10"/>
      <c r="J66" s="14" t="s">
        <v>860</v>
      </c>
      <c r="K66" s="33"/>
      <c r="L66" s="166" t="str">
        <f t="shared" si="0"/>
        <v>13/04/1978</v>
      </c>
      <c r="N66" s="4">
        <f t="shared" ca="1" si="1"/>
        <v>48</v>
      </c>
    </row>
    <row r="67" spans="1:18" s="4" customFormat="1" ht="68" x14ac:dyDescent="0.15">
      <c r="A67" s="13" t="s">
        <v>279</v>
      </c>
      <c r="B67" s="129" t="s">
        <v>285</v>
      </c>
      <c r="C67" s="35" t="s">
        <v>286</v>
      </c>
      <c r="D67" s="33"/>
      <c r="E67" s="19" t="s">
        <v>287</v>
      </c>
      <c r="F67" s="20"/>
      <c r="G67" s="19" t="s">
        <v>288</v>
      </c>
      <c r="H67" s="14"/>
      <c r="I67" s="10"/>
      <c r="J67" s="38" t="s">
        <v>863</v>
      </c>
      <c r="K67" s="33"/>
      <c r="L67" s="166" t="str">
        <f t="shared" si="0"/>
        <v>23/3/1982</v>
      </c>
      <c r="N67" s="4">
        <f t="shared" ca="1" si="1"/>
        <v>44</v>
      </c>
    </row>
    <row r="68" spans="1:18" s="4" customFormat="1" ht="85" x14ac:dyDescent="0.15">
      <c r="A68" s="13" t="s">
        <v>284</v>
      </c>
      <c r="B68" s="131" t="s">
        <v>290</v>
      </c>
      <c r="C68" s="42" t="s">
        <v>291</v>
      </c>
      <c r="D68" s="33"/>
      <c r="E68" s="19" t="s">
        <v>292</v>
      </c>
      <c r="F68" s="20"/>
      <c r="G68" s="19" t="s">
        <v>293</v>
      </c>
      <c r="H68" s="14"/>
      <c r="I68" s="10"/>
      <c r="J68" s="38" t="s">
        <v>863</v>
      </c>
      <c r="K68" s="33"/>
      <c r="L68" s="166" t="str">
        <f t="shared" si="0"/>
        <v>07/8/1990</v>
      </c>
      <c r="N68" s="4">
        <f t="shared" ca="1" si="1"/>
        <v>35</v>
      </c>
    </row>
    <row r="69" spans="1:18" s="4" customFormat="1" ht="51" x14ac:dyDescent="0.15">
      <c r="A69" s="13" t="s">
        <v>289</v>
      </c>
      <c r="B69" s="131" t="s">
        <v>295</v>
      </c>
      <c r="C69" s="40" t="s">
        <v>296</v>
      </c>
      <c r="D69" s="33"/>
      <c r="E69" s="19" t="s">
        <v>297</v>
      </c>
      <c r="F69" s="20" t="s">
        <v>298</v>
      </c>
      <c r="G69" s="20" t="s">
        <v>92</v>
      </c>
      <c r="H69" s="14"/>
      <c r="I69" s="10"/>
      <c r="J69" s="38" t="s">
        <v>863</v>
      </c>
      <c r="K69" s="33"/>
      <c r="L69" s="166" t="str">
        <f t="shared" si="0"/>
        <v>13/07/1986</v>
      </c>
      <c r="N69" s="4">
        <f t="shared" ca="1" si="1"/>
        <v>39</v>
      </c>
    </row>
    <row r="70" spans="1:18" s="4" customFormat="1" ht="45" customHeight="1" x14ac:dyDescent="0.15">
      <c r="A70" s="13" t="s">
        <v>294</v>
      </c>
      <c r="B70" s="131" t="s">
        <v>300</v>
      </c>
      <c r="C70" s="42" t="s">
        <v>301</v>
      </c>
      <c r="D70" s="33"/>
      <c r="E70" s="19" t="s">
        <v>302</v>
      </c>
      <c r="F70" s="20"/>
      <c r="G70" s="19" t="s">
        <v>92</v>
      </c>
      <c r="H70" s="14"/>
      <c r="I70" s="10"/>
      <c r="J70" s="38" t="s">
        <v>863</v>
      </c>
      <c r="K70" s="33"/>
      <c r="L70" s="166" t="str">
        <f t="shared" si="0"/>
        <v>05/9/1980</v>
      </c>
      <c r="N70" s="4">
        <f t="shared" ca="1" si="1"/>
        <v>45</v>
      </c>
    </row>
    <row r="71" spans="1:18" s="4" customFormat="1" ht="85" x14ac:dyDescent="0.15">
      <c r="A71" s="13" t="s">
        <v>299</v>
      </c>
      <c r="B71" s="128" t="s">
        <v>304</v>
      </c>
      <c r="C71" s="15" t="s">
        <v>305</v>
      </c>
      <c r="D71" s="33"/>
      <c r="E71" s="20" t="s">
        <v>306</v>
      </c>
      <c r="F71" s="14"/>
      <c r="G71" s="20" t="s">
        <v>56</v>
      </c>
      <c r="H71" s="17"/>
      <c r="I71" s="10"/>
      <c r="J71" s="38" t="s">
        <v>863</v>
      </c>
      <c r="K71" s="33"/>
      <c r="L71" s="166" t="str">
        <f t="shared" si="0"/>
        <v>25/3/1981</v>
      </c>
      <c r="N71" s="4">
        <f t="shared" ca="1" si="1"/>
        <v>45</v>
      </c>
    </row>
    <row r="72" spans="1:18" s="4" customFormat="1" ht="68.25" customHeight="1" x14ac:dyDescent="0.15">
      <c r="A72" s="13" t="s">
        <v>303</v>
      </c>
      <c r="B72" s="128" t="s">
        <v>308</v>
      </c>
      <c r="C72" s="15" t="s">
        <v>309</v>
      </c>
      <c r="D72" s="33"/>
      <c r="E72" s="20" t="s">
        <v>310</v>
      </c>
      <c r="F72" s="14"/>
      <c r="G72" s="20" t="s">
        <v>311</v>
      </c>
      <c r="H72" s="17"/>
      <c r="I72" s="10"/>
      <c r="J72" s="38" t="s">
        <v>863</v>
      </c>
      <c r="K72" s="33"/>
      <c r="L72" s="166" t="str">
        <f t="shared" si="0"/>
        <v>22/3/1988</v>
      </c>
      <c r="N72" s="4">
        <f t="shared" ca="1" si="1"/>
        <v>38</v>
      </c>
    </row>
    <row r="73" spans="1:18" s="4" customFormat="1" ht="85" x14ac:dyDescent="0.15">
      <c r="A73" s="13" t="s">
        <v>307</v>
      </c>
      <c r="B73" s="128" t="s">
        <v>313</v>
      </c>
      <c r="C73" s="15"/>
      <c r="D73" s="15" t="s">
        <v>314</v>
      </c>
      <c r="E73" s="20" t="s">
        <v>315</v>
      </c>
      <c r="F73" s="14"/>
      <c r="G73" s="20" t="s">
        <v>56</v>
      </c>
      <c r="H73" s="17"/>
      <c r="I73" s="10"/>
      <c r="J73" s="38" t="s">
        <v>863</v>
      </c>
      <c r="K73" s="33"/>
      <c r="L73" s="166" t="str">
        <f t="shared" si="0"/>
        <v>30/01/1988</v>
      </c>
      <c r="N73" s="4">
        <f t="shared" ca="1" si="1"/>
        <v>38</v>
      </c>
    </row>
    <row r="74" spans="1:18" s="4" customFormat="1" ht="51" x14ac:dyDescent="0.15">
      <c r="A74" s="13" t="s">
        <v>312</v>
      </c>
      <c r="B74" s="132" t="s">
        <v>317</v>
      </c>
      <c r="C74" s="40" t="s">
        <v>318</v>
      </c>
      <c r="D74" s="33"/>
      <c r="E74" s="44" t="s">
        <v>319</v>
      </c>
      <c r="F74" s="14"/>
      <c r="G74" s="20" t="s">
        <v>92</v>
      </c>
      <c r="H74" s="17"/>
      <c r="I74" s="10"/>
      <c r="J74" s="38" t="s">
        <v>863</v>
      </c>
      <c r="K74" s="33"/>
      <c r="L74" s="166" t="str">
        <f t="shared" si="0"/>
        <v>16/12/2001</v>
      </c>
      <c r="N74" s="4">
        <f t="shared" ca="1" si="1"/>
        <v>24</v>
      </c>
      <c r="R74" s="4" t="s">
        <v>1368</v>
      </c>
    </row>
    <row r="75" spans="1:18" s="4" customFormat="1" ht="68" x14ac:dyDescent="0.15">
      <c r="A75" s="13" t="s">
        <v>316</v>
      </c>
      <c r="B75" s="128" t="s">
        <v>320</v>
      </c>
      <c r="C75" s="45"/>
      <c r="D75" s="15" t="s">
        <v>321</v>
      </c>
      <c r="E75" s="20" t="s">
        <v>322</v>
      </c>
      <c r="F75" s="14"/>
      <c r="G75" s="20" t="s">
        <v>92</v>
      </c>
      <c r="H75" s="17"/>
      <c r="I75" s="10"/>
      <c r="J75" s="38" t="s">
        <v>863</v>
      </c>
      <c r="K75" s="33"/>
      <c r="L75" s="166" t="str">
        <f t="shared" ref="L75:L106" si="2">IF(C75&lt;&gt;"",C75,D75)</f>
        <v>22/3/1996</v>
      </c>
      <c r="N75" s="4">
        <f t="shared" ref="N75:N106" ca="1" si="3">DATEDIF(L75,TODAY(),"Y")</f>
        <v>30</v>
      </c>
    </row>
    <row r="76" spans="1:18" s="4" customFormat="1" ht="17" x14ac:dyDescent="0.15">
      <c r="A76" s="9" t="s">
        <v>323</v>
      </c>
      <c r="B76" s="134" t="s">
        <v>324</v>
      </c>
      <c r="C76" s="134"/>
      <c r="D76" s="134"/>
      <c r="E76" s="134"/>
      <c r="F76" s="134"/>
      <c r="G76" s="134"/>
      <c r="H76" s="134"/>
      <c r="I76" s="134"/>
      <c r="J76" s="134"/>
      <c r="K76" s="134"/>
      <c r="L76" s="166"/>
    </row>
    <row r="77" spans="1:18" s="4" customFormat="1" ht="85" x14ac:dyDescent="0.15">
      <c r="A77" s="22" t="s">
        <v>325</v>
      </c>
      <c r="B77" s="128" t="s">
        <v>326</v>
      </c>
      <c r="C77" s="15" t="s">
        <v>327</v>
      </c>
      <c r="D77" s="33"/>
      <c r="E77" s="20" t="s">
        <v>328</v>
      </c>
      <c r="F77" s="20" t="s">
        <v>329</v>
      </c>
      <c r="G77" s="20" t="s">
        <v>293</v>
      </c>
      <c r="H77" s="17"/>
      <c r="I77" s="10"/>
      <c r="J77" s="38" t="s">
        <v>859</v>
      </c>
      <c r="K77" s="33"/>
      <c r="L77" s="166" t="str">
        <f t="shared" si="2"/>
        <v>07/02/1979</v>
      </c>
      <c r="N77" s="4">
        <f t="shared" ca="1" si="3"/>
        <v>47</v>
      </c>
    </row>
    <row r="78" spans="1:18" s="4" customFormat="1" ht="85" x14ac:dyDescent="0.15">
      <c r="A78" s="22" t="s">
        <v>330</v>
      </c>
      <c r="B78" s="127" t="s">
        <v>331</v>
      </c>
      <c r="C78" s="13" t="s">
        <v>332</v>
      </c>
      <c r="D78" s="33"/>
      <c r="E78" s="19" t="s">
        <v>333</v>
      </c>
      <c r="F78" s="14"/>
      <c r="G78" s="19" t="s">
        <v>334</v>
      </c>
      <c r="H78" s="17"/>
      <c r="I78" s="10"/>
      <c r="J78" s="38" t="s">
        <v>860</v>
      </c>
      <c r="K78" s="33"/>
      <c r="L78" s="166" t="str">
        <f t="shared" si="2"/>
        <v>06/09/1976</v>
      </c>
      <c r="N78" s="4">
        <f t="shared" ca="1" si="3"/>
        <v>49</v>
      </c>
    </row>
    <row r="79" spans="1:18" s="4" customFormat="1" ht="51" x14ac:dyDescent="0.15">
      <c r="A79" s="22" t="s">
        <v>335</v>
      </c>
      <c r="B79" s="128" t="s">
        <v>336</v>
      </c>
      <c r="C79" s="15" t="s">
        <v>337</v>
      </c>
      <c r="D79" s="33"/>
      <c r="E79" s="20" t="s">
        <v>338</v>
      </c>
      <c r="F79" s="14" t="s">
        <v>339</v>
      </c>
      <c r="G79" s="20" t="s">
        <v>340</v>
      </c>
      <c r="H79" s="17"/>
      <c r="I79" s="10"/>
      <c r="J79" s="14" t="s">
        <v>863</v>
      </c>
      <c r="K79" s="33"/>
      <c r="L79" s="166" t="str">
        <f t="shared" si="2"/>
        <v>13/04/1989</v>
      </c>
      <c r="N79" s="4">
        <f t="shared" ca="1" si="3"/>
        <v>37</v>
      </c>
    </row>
    <row r="80" spans="1:18" s="4" customFormat="1" ht="102" x14ac:dyDescent="0.15">
      <c r="A80" s="22" t="s">
        <v>341</v>
      </c>
      <c r="B80" s="127" t="s">
        <v>342</v>
      </c>
      <c r="C80" s="13" t="s">
        <v>343</v>
      </c>
      <c r="D80" s="33"/>
      <c r="E80" s="36" t="s">
        <v>344</v>
      </c>
      <c r="F80" s="14"/>
      <c r="G80" s="36" t="s">
        <v>345</v>
      </c>
      <c r="H80" s="14" t="s">
        <v>346</v>
      </c>
      <c r="I80" s="10"/>
      <c r="J80" s="14" t="s">
        <v>863</v>
      </c>
      <c r="K80" s="33"/>
      <c r="L80" s="166" t="str">
        <f t="shared" si="2"/>
        <v>04/04/1987</v>
      </c>
      <c r="N80" s="4">
        <f t="shared" ca="1" si="3"/>
        <v>39</v>
      </c>
    </row>
    <row r="81" spans="1:14" s="4" customFormat="1" ht="85" x14ac:dyDescent="0.15">
      <c r="A81" s="22" t="s">
        <v>347</v>
      </c>
      <c r="B81" s="128" t="s">
        <v>348</v>
      </c>
      <c r="C81" s="45"/>
      <c r="D81" s="15" t="s">
        <v>349</v>
      </c>
      <c r="E81" s="20" t="s">
        <v>350</v>
      </c>
      <c r="F81" s="14"/>
      <c r="G81" s="20" t="s">
        <v>92</v>
      </c>
      <c r="H81" s="17"/>
      <c r="I81" s="10"/>
      <c r="J81" s="14" t="s">
        <v>863</v>
      </c>
      <c r="K81" s="33"/>
      <c r="L81" s="166" t="str">
        <f t="shared" si="2"/>
        <v>27/04/1978</v>
      </c>
      <c r="N81" s="4">
        <f t="shared" ca="1" si="3"/>
        <v>48</v>
      </c>
    </row>
    <row r="82" spans="1:14" s="4" customFormat="1" ht="16" x14ac:dyDescent="0.15">
      <c r="A82" s="12" t="s">
        <v>351</v>
      </c>
      <c r="B82" s="135" t="s">
        <v>1360</v>
      </c>
      <c r="C82" s="135"/>
      <c r="D82" s="135"/>
      <c r="E82" s="135"/>
      <c r="F82" s="135"/>
      <c r="G82" s="135"/>
      <c r="H82" s="135"/>
      <c r="I82" s="135"/>
      <c r="J82" s="135"/>
      <c r="K82" s="135"/>
      <c r="L82" s="166"/>
    </row>
    <row r="83" spans="1:14" s="4" customFormat="1" ht="51" x14ac:dyDescent="0.15">
      <c r="A83" s="13" t="s">
        <v>352</v>
      </c>
      <c r="B83" s="132" t="s">
        <v>353</v>
      </c>
      <c r="C83" s="47"/>
      <c r="D83" s="47" t="s">
        <v>354</v>
      </c>
      <c r="E83" s="20" t="s">
        <v>70</v>
      </c>
      <c r="F83" s="14"/>
      <c r="G83" s="20" t="s">
        <v>355</v>
      </c>
      <c r="H83" s="17"/>
      <c r="I83" s="10"/>
      <c r="J83" s="38" t="s">
        <v>859</v>
      </c>
      <c r="K83" s="33"/>
      <c r="L83" s="166" t="str">
        <f t="shared" si="2"/>
        <v>23/4/1981</v>
      </c>
      <c r="N83" s="4">
        <f t="shared" ca="1" si="3"/>
        <v>45</v>
      </c>
    </row>
    <row r="84" spans="1:14" s="4" customFormat="1" ht="68" customHeight="1" x14ac:dyDescent="0.15">
      <c r="A84" s="13" t="s">
        <v>356</v>
      </c>
      <c r="B84" s="131" t="s">
        <v>362</v>
      </c>
      <c r="C84" s="24"/>
      <c r="D84" s="24" t="s">
        <v>363</v>
      </c>
      <c r="E84" s="20" t="s">
        <v>364</v>
      </c>
      <c r="F84" s="14" t="s">
        <v>148</v>
      </c>
      <c r="G84" s="20" t="s">
        <v>365</v>
      </c>
      <c r="H84" s="17"/>
      <c r="I84" s="10"/>
      <c r="J84" s="38" t="s">
        <v>860</v>
      </c>
      <c r="K84" s="33"/>
      <c r="L84" s="166" t="str">
        <f t="shared" si="2"/>
        <v>01/01/1982</v>
      </c>
      <c r="N84" s="4">
        <f t="shared" ca="1" si="3"/>
        <v>44</v>
      </c>
    </row>
    <row r="85" spans="1:14" s="4" customFormat="1" ht="93" customHeight="1" x14ac:dyDescent="0.15">
      <c r="A85" s="13" t="s">
        <v>361</v>
      </c>
      <c r="B85" s="131" t="s">
        <v>367</v>
      </c>
      <c r="C85" s="15" t="s">
        <v>368</v>
      </c>
      <c r="D85" s="33"/>
      <c r="E85" s="20" t="s">
        <v>369</v>
      </c>
      <c r="F85" s="14" t="s">
        <v>370</v>
      </c>
      <c r="G85" s="20" t="s">
        <v>371</v>
      </c>
      <c r="H85" s="17"/>
      <c r="I85" s="10"/>
      <c r="J85" s="38" t="s">
        <v>863</v>
      </c>
      <c r="K85" s="33"/>
      <c r="L85" s="166" t="str">
        <f t="shared" si="2"/>
        <v>21/01/1983</v>
      </c>
      <c r="N85" s="4">
        <f t="shared" ca="1" si="3"/>
        <v>43</v>
      </c>
    </row>
    <row r="86" spans="1:14" s="4" customFormat="1" ht="53.25" customHeight="1" x14ac:dyDescent="0.15">
      <c r="A86" s="13" t="s">
        <v>366</v>
      </c>
      <c r="B86" s="128" t="s">
        <v>379</v>
      </c>
      <c r="C86" s="15"/>
      <c r="D86" s="15" t="s">
        <v>380</v>
      </c>
      <c r="E86" s="20" t="s">
        <v>381</v>
      </c>
      <c r="F86" s="14" t="s">
        <v>382</v>
      </c>
      <c r="G86" s="20" t="s">
        <v>383</v>
      </c>
      <c r="H86" s="17"/>
      <c r="I86" s="10"/>
      <c r="J86" s="38" t="s">
        <v>863</v>
      </c>
      <c r="K86" s="33"/>
      <c r="L86" s="166" t="str">
        <f t="shared" si="2"/>
        <v>05/02/1991</v>
      </c>
      <c r="N86" s="4">
        <f t="shared" ca="1" si="3"/>
        <v>35</v>
      </c>
    </row>
    <row r="87" spans="1:14" s="4" customFormat="1" ht="60" customHeight="1" x14ac:dyDescent="0.15">
      <c r="A87" s="13" t="s">
        <v>372</v>
      </c>
      <c r="B87" s="132" t="s">
        <v>384</v>
      </c>
      <c r="C87" s="31"/>
      <c r="D87" s="31" t="s">
        <v>385</v>
      </c>
      <c r="E87" s="20" t="s">
        <v>386</v>
      </c>
      <c r="F87" s="14" t="s">
        <v>387</v>
      </c>
      <c r="G87" s="20" t="s">
        <v>388</v>
      </c>
      <c r="H87" s="17"/>
      <c r="I87" s="10"/>
      <c r="J87" s="38" t="s">
        <v>863</v>
      </c>
      <c r="K87" s="33"/>
      <c r="L87" s="166" t="str">
        <f t="shared" si="2"/>
        <v>19/10/1996</v>
      </c>
      <c r="N87" s="4">
        <f t="shared" ca="1" si="3"/>
        <v>29</v>
      </c>
    </row>
    <row r="88" spans="1:14" s="4" customFormat="1" ht="58.5" customHeight="1" x14ac:dyDescent="0.15">
      <c r="A88" s="13" t="s">
        <v>378</v>
      </c>
      <c r="B88" s="132" t="s">
        <v>389</v>
      </c>
      <c r="C88" s="40"/>
      <c r="D88" s="40" t="s">
        <v>390</v>
      </c>
      <c r="E88" s="20" t="s">
        <v>391</v>
      </c>
      <c r="F88" s="14"/>
      <c r="G88" s="20" t="s">
        <v>392</v>
      </c>
      <c r="H88" s="17"/>
      <c r="I88" s="10"/>
      <c r="J88" s="38" t="s">
        <v>863</v>
      </c>
      <c r="K88" s="33"/>
      <c r="L88" s="166" t="str">
        <f t="shared" si="2"/>
        <v>22/7/1978</v>
      </c>
      <c r="N88" s="4">
        <f t="shared" ca="1" si="3"/>
        <v>47</v>
      </c>
    </row>
    <row r="89" spans="1:14" s="4" customFormat="1" ht="16" x14ac:dyDescent="0.15">
      <c r="A89" s="12">
        <v>2</v>
      </c>
      <c r="B89" s="135" t="s">
        <v>393</v>
      </c>
      <c r="C89" s="135"/>
      <c r="D89" s="135"/>
      <c r="E89" s="135"/>
      <c r="F89" s="135"/>
      <c r="G89" s="135"/>
      <c r="H89" s="135"/>
      <c r="I89" s="135"/>
      <c r="J89" s="135"/>
      <c r="K89" s="135"/>
      <c r="L89" s="166"/>
    </row>
    <row r="90" spans="1:14" s="4" customFormat="1" ht="68" x14ac:dyDescent="0.15">
      <c r="A90" s="13" t="s">
        <v>394</v>
      </c>
      <c r="B90" s="128" t="s">
        <v>395</v>
      </c>
      <c r="C90" s="15" t="s">
        <v>396</v>
      </c>
      <c r="D90" s="21"/>
      <c r="E90" s="20" t="s">
        <v>397</v>
      </c>
      <c r="F90" s="14" t="s">
        <v>398</v>
      </c>
      <c r="G90" s="20" t="s">
        <v>399</v>
      </c>
      <c r="H90" s="17"/>
      <c r="I90" s="14"/>
      <c r="J90" s="14" t="s">
        <v>864</v>
      </c>
      <c r="K90" s="33"/>
      <c r="L90" s="166" t="str">
        <f t="shared" si="2"/>
        <v>23/02/1979</v>
      </c>
      <c r="N90" s="4">
        <f t="shared" ca="1" si="3"/>
        <v>47</v>
      </c>
    </row>
    <row r="91" spans="1:14" s="4" customFormat="1" ht="51" x14ac:dyDescent="0.15">
      <c r="A91" s="13" t="s">
        <v>400</v>
      </c>
      <c r="B91" s="128" t="s">
        <v>401</v>
      </c>
      <c r="C91" s="15" t="s">
        <v>402</v>
      </c>
      <c r="D91" s="33"/>
      <c r="E91" s="20" t="s">
        <v>403</v>
      </c>
      <c r="F91" s="20" t="s">
        <v>404</v>
      </c>
      <c r="G91" s="20" t="s">
        <v>405</v>
      </c>
      <c r="H91" s="17"/>
      <c r="I91" s="10"/>
      <c r="J91" s="14" t="s">
        <v>865</v>
      </c>
      <c r="K91" s="33"/>
      <c r="L91" s="166" t="str">
        <f t="shared" si="2"/>
        <v>29/11/1976</v>
      </c>
      <c r="N91" s="4">
        <f t="shared" ca="1" si="3"/>
        <v>49</v>
      </c>
    </row>
    <row r="92" spans="1:14" s="4" customFormat="1" ht="51" x14ac:dyDescent="0.15">
      <c r="A92" s="13" t="s">
        <v>406</v>
      </c>
      <c r="B92" s="127" t="s">
        <v>407</v>
      </c>
      <c r="C92" s="13" t="s">
        <v>408</v>
      </c>
      <c r="D92" s="33"/>
      <c r="E92" s="19" t="s">
        <v>282</v>
      </c>
      <c r="F92" s="19" t="s">
        <v>87</v>
      </c>
      <c r="G92" s="19" t="s">
        <v>409</v>
      </c>
      <c r="H92" s="17"/>
      <c r="I92" s="10"/>
      <c r="J92" s="14" t="s">
        <v>865</v>
      </c>
      <c r="K92" s="33"/>
      <c r="L92" s="166" t="str">
        <f t="shared" si="2"/>
        <v>03/10/1981</v>
      </c>
      <c r="N92" s="4">
        <f t="shared" ca="1" si="3"/>
        <v>44</v>
      </c>
    </row>
    <row r="93" spans="1:14" s="4" customFormat="1" ht="51" x14ac:dyDescent="0.15">
      <c r="A93" s="13" t="s">
        <v>589</v>
      </c>
      <c r="B93" s="132" t="s">
        <v>411</v>
      </c>
      <c r="C93" s="40" t="s">
        <v>412</v>
      </c>
      <c r="D93" s="33"/>
      <c r="E93" s="19" t="s">
        <v>413</v>
      </c>
      <c r="F93" s="14"/>
      <c r="G93" s="20" t="s">
        <v>124</v>
      </c>
      <c r="H93" s="17"/>
      <c r="I93" s="10"/>
      <c r="J93" s="14" t="s">
        <v>865</v>
      </c>
      <c r="K93" s="33"/>
      <c r="L93" s="166" t="str">
        <f t="shared" si="2"/>
        <v>7/9/1971</v>
      </c>
      <c r="N93" s="4">
        <f t="shared" ca="1" si="3"/>
        <v>54</v>
      </c>
    </row>
    <row r="94" spans="1:14" s="4" customFormat="1" ht="102" x14ac:dyDescent="0.15">
      <c r="A94" s="13" t="s">
        <v>410</v>
      </c>
      <c r="B94" s="127" t="s">
        <v>415</v>
      </c>
      <c r="C94" s="18"/>
      <c r="D94" s="18" t="s">
        <v>416</v>
      </c>
      <c r="E94" s="19" t="s">
        <v>417</v>
      </c>
      <c r="F94" s="14"/>
      <c r="G94" s="19" t="s">
        <v>87</v>
      </c>
      <c r="H94" s="17"/>
      <c r="I94" s="10"/>
      <c r="J94" s="14" t="s">
        <v>869</v>
      </c>
      <c r="K94" s="33"/>
      <c r="L94" s="166" t="str">
        <f t="shared" si="2"/>
        <v>08/03/1976</v>
      </c>
      <c r="N94" s="4">
        <f t="shared" ca="1" si="3"/>
        <v>50</v>
      </c>
    </row>
    <row r="95" spans="1:14" s="4" customFormat="1" ht="85" x14ac:dyDescent="0.15">
      <c r="A95" s="13" t="s">
        <v>414</v>
      </c>
      <c r="B95" s="127" t="s">
        <v>419</v>
      </c>
      <c r="C95" s="18"/>
      <c r="D95" s="18" t="s">
        <v>420</v>
      </c>
      <c r="E95" s="19" t="s">
        <v>421</v>
      </c>
      <c r="F95" s="19" t="s">
        <v>228</v>
      </c>
      <c r="G95" s="19" t="s">
        <v>138</v>
      </c>
      <c r="H95" s="17"/>
      <c r="I95" s="10"/>
      <c r="J95" s="14" t="s">
        <v>866</v>
      </c>
      <c r="K95" s="33"/>
      <c r="L95" s="166" t="str">
        <f t="shared" si="2"/>
        <v>04/07/1981</v>
      </c>
      <c r="N95" s="4">
        <f t="shared" ca="1" si="3"/>
        <v>44</v>
      </c>
    </row>
    <row r="96" spans="1:14" s="4" customFormat="1" ht="85" x14ac:dyDescent="0.15">
      <c r="A96" s="13" t="s">
        <v>418</v>
      </c>
      <c r="B96" s="127" t="s">
        <v>423</v>
      </c>
      <c r="C96" s="13"/>
      <c r="D96" s="13" t="s">
        <v>424</v>
      </c>
      <c r="E96" s="19" t="s">
        <v>425</v>
      </c>
      <c r="F96" s="19"/>
      <c r="G96" s="19" t="s">
        <v>87</v>
      </c>
      <c r="H96" s="17"/>
      <c r="I96" s="10"/>
      <c r="J96" s="14" t="s">
        <v>863</v>
      </c>
      <c r="K96" s="33"/>
      <c r="L96" s="166" t="str">
        <f t="shared" si="2"/>
        <v>13/05/1981</v>
      </c>
      <c r="N96" s="4">
        <f t="shared" ca="1" si="3"/>
        <v>45</v>
      </c>
    </row>
    <row r="97" spans="1:14" s="4" customFormat="1" ht="68.25" customHeight="1" x14ac:dyDescent="0.15">
      <c r="A97" s="13" t="s">
        <v>422</v>
      </c>
      <c r="B97" s="127" t="s">
        <v>427</v>
      </c>
      <c r="C97" s="13"/>
      <c r="D97" s="13" t="s">
        <v>428</v>
      </c>
      <c r="E97" s="19" t="s">
        <v>429</v>
      </c>
      <c r="F97" s="14"/>
      <c r="G97" s="19" t="s">
        <v>168</v>
      </c>
      <c r="H97" s="17"/>
      <c r="I97" s="10"/>
      <c r="J97" s="14" t="s">
        <v>863</v>
      </c>
      <c r="K97" s="33"/>
      <c r="L97" s="166" t="str">
        <f t="shared" si="2"/>
        <v>01/06/1989</v>
      </c>
      <c r="N97" s="4">
        <f t="shared" ca="1" si="3"/>
        <v>37</v>
      </c>
    </row>
    <row r="98" spans="1:14" s="4" customFormat="1" ht="51" x14ac:dyDescent="0.15">
      <c r="A98" s="13" t="s">
        <v>426</v>
      </c>
      <c r="B98" s="128" t="s">
        <v>431</v>
      </c>
      <c r="C98" s="40"/>
      <c r="D98" s="40" t="s">
        <v>432</v>
      </c>
      <c r="E98" s="48" t="s">
        <v>433</v>
      </c>
      <c r="F98" s="14"/>
      <c r="G98" s="20" t="s">
        <v>77</v>
      </c>
      <c r="H98" s="17"/>
      <c r="I98" s="10"/>
      <c r="J98" s="14" t="s">
        <v>863</v>
      </c>
      <c r="K98" s="33"/>
      <c r="L98" s="166" t="str">
        <f t="shared" si="2"/>
        <v>19/12/1979</v>
      </c>
      <c r="N98" s="4">
        <f t="shared" ca="1" si="3"/>
        <v>46</v>
      </c>
    </row>
    <row r="99" spans="1:14" s="4" customFormat="1" ht="51" x14ac:dyDescent="0.15">
      <c r="A99" s="13" t="s">
        <v>430</v>
      </c>
      <c r="B99" s="128" t="s">
        <v>435</v>
      </c>
      <c r="C99" s="15" t="s">
        <v>436</v>
      </c>
      <c r="D99" s="33"/>
      <c r="E99" s="20" t="s">
        <v>437</v>
      </c>
      <c r="F99" s="14"/>
      <c r="G99" s="20" t="s">
        <v>438</v>
      </c>
      <c r="H99" s="17"/>
      <c r="I99" s="10"/>
      <c r="J99" s="14" t="s">
        <v>868</v>
      </c>
      <c r="K99" s="33"/>
      <c r="L99" s="166" t="str">
        <f t="shared" si="2"/>
        <v>01/03/1982</v>
      </c>
      <c r="N99" s="4">
        <f t="shared" ca="1" si="3"/>
        <v>44</v>
      </c>
    </row>
    <row r="100" spans="1:14" s="4" customFormat="1" ht="51" x14ac:dyDescent="0.15">
      <c r="A100" s="13" t="s">
        <v>434</v>
      </c>
      <c r="B100" s="128" t="s">
        <v>440</v>
      </c>
      <c r="C100" s="15" t="s">
        <v>441</v>
      </c>
      <c r="D100" s="33"/>
      <c r="E100" s="20" t="s">
        <v>442</v>
      </c>
      <c r="F100" s="14"/>
      <c r="G100" s="20" t="s">
        <v>443</v>
      </c>
      <c r="H100" s="17"/>
      <c r="I100" s="10"/>
      <c r="J100" s="14" t="s">
        <v>863</v>
      </c>
      <c r="K100" s="33"/>
      <c r="L100" s="166" t="str">
        <f t="shared" si="2"/>
        <v>01/11/1984</v>
      </c>
      <c r="N100" s="4">
        <f t="shared" ca="1" si="3"/>
        <v>41</v>
      </c>
    </row>
    <row r="101" spans="1:14" s="4" customFormat="1" ht="52" customHeight="1" x14ac:dyDescent="0.15">
      <c r="A101" s="13" t="s">
        <v>439</v>
      </c>
      <c r="B101" s="127" t="s">
        <v>445</v>
      </c>
      <c r="C101" s="18"/>
      <c r="D101" s="18" t="s">
        <v>446</v>
      </c>
      <c r="E101" s="19" t="s">
        <v>447</v>
      </c>
      <c r="F101" s="19" t="s">
        <v>244</v>
      </c>
      <c r="G101" s="19" t="s">
        <v>448</v>
      </c>
      <c r="H101" s="17"/>
      <c r="I101" s="10"/>
      <c r="J101" s="14" t="s">
        <v>863</v>
      </c>
      <c r="K101" s="33"/>
      <c r="L101" s="166" t="str">
        <f t="shared" si="2"/>
        <v>15/10/1989</v>
      </c>
      <c r="N101" s="4">
        <f t="shared" ca="1" si="3"/>
        <v>36</v>
      </c>
    </row>
    <row r="102" spans="1:14" s="4" customFormat="1" ht="63" customHeight="1" x14ac:dyDescent="0.15">
      <c r="A102" s="13" t="s">
        <v>444</v>
      </c>
      <c r="B102" s="127" t="s">
        <v>450</v>
      </c>
      <c r="C102" s="13"/>
      <c r="D102" s="13" t="s">
        <v>451</v>
      </c>
      <c r="E102" s="19" t="s">
        <v>452</v>
      </c>
      <c r="F102" s="14"/>
      <c r="G102" s="19" t="s">
        <v>453</v>
      </c>
      <c r="H102" s="17"/>
      <c r="I102" s="10"/>
      <c r="J102" s="14" t="s">
        <v>863</v>
      </c>
      <c r="K102" s="33"/>
      <c r="L102" s="166" t="str">
        <f t="shared" si="2"/>
        <v>17/12/1984</v>
      </c>
      <c r="N102" s="4">
        <f t="shared" ca="1" si="3"/>
        <v>41</v>
      </c>
    </row>
    <row r="103" spans="1:14" s="4" customFormat="1" ht="78" customHeight="1" x14ac:dyDescent="0.15">
      <c r="A103" s="13" t="s">
        <v>449</v>
      </c>
      <c r="B103" s="127" t="s">
        <v>455</v>
      </c>
      <c r="C103" s="13" t="s">
        <v>456</v>
      </c>
      <c r="D103" s="33"/>
      <c r="E103" s="20" t="s">
        <v>457</v>
      </c>
      <c r="F103" s="20" t="s">
        <v>458</v>
      </c>
      <c r="G103" s="20" t="s">
        <v>459</v>
      </c>
      <c r="H103" s="17"/>
      <c r="I103" s="10"/>
      <c r="J103" s="14" t="s">
        <v>863</v>
      </c>
      <c r="K103" s="33"/>
      <c r="L103" s="166" t="str">
        <f t="shared" si="2"/>
        <v>05/08/1985</v>
      </c>
      <c r="N103" s="4">
        <f t="shared" ca="1" si="3"/>
        <v>40</v>
      </c>
    </row>
    <row r="104" spans="1:14" s="4" customFormat="1" ht="51" x14ac:dyDescent="0.15">
      <c r="A104" s="13" t="s">
        <v>454</v>
      </c>
      <c r="B104" s="128" t="s">
        <v>461</v>
      </c>
      <c r="C104" s="15" t="s">
        <v>462</v>
      </c>
      <c r="D104" s="33"/>
      <c r="E104" s="20" t="s">
        <v>463</v>
      </c>
      <c r="F104" s="14"/>
      <c r="G104" s="20" t="s">
        <v>464</v>
      </c>
      <c r="H104" s="17"/>
      <c r="I104" s="10"/>
      <c r="J104" s="14" t="s">
        <v>867</v>
      </c>
      <c r="K104" s="33"/>
      <c r="L104" s="166" t="str">
        <f t="shared" si="2"/>
        <v>20/07/1987</v>
      </c>
      <c r="N104" s="4">
        <f t="shared" ca="1" si="3"/>
        <v>38</v>
      </c>
    </row>
    <row r="105" spans="1:14" s="4" customFormat="1" ht="57" customHeight="1" x14ac:dyDescent="0.15">
      <c r="A105" s="13" t="s">
        <v>460</v>
      </c>
      <c r="B105" s="128" t="s">
        <v>466</v>
      </c>
      <c r="C105" s="15" t="s">
        <v>467</v>
      </c>
      <c r="D105" s="33"/>
      <c r="E105" s="20" t="s">
        <v>468</v>
      </c>
      <c r="F105" s="14"/>
      <c r="G105" s="20" t="s">
        <v>469</v>
      </c>
      <c r="H105" s="17"/>
      <c r="I105" s="10"/>
      <c r="J105" s="14" t="s">
        <v>863</v>
      </c>
      <c r="K105" s="33"/>
      <c r="L105" s="166" t="str">
        <f t="shared" si="2"/>
        <v>17/03/1988</v>
      </c>
      <c r="N105" s="4">
        <f t="shared" ca="1" si="3"/>
        <v>38</v>
      </c>
    </row>
    <row r="106" spans="1:14" s="4" customFormat="1" ht="68" x14ac:dyDescent="0.15">
      <c r="A106" s="13" t="s">
        <v>465</v>
      </c>
      <c r="B106" s="132" t="s">
        <v>470</v>
      </c>
      <c r="C106" s="40" t="s">
        <v>471</v>
      </c>
      <c r="D106" s="33"/>
      <c r="E106" s="19" t="s">
        <v>472</v>
      </c>
      <c r="F106" s="14"/>
      <c r="G106" s="20" t="s">
        <v>473</v>
      </c>
      <c r="H106" s="17"/>
      <c r="I106" s="10"/>
      <c r="J106" s="14" t="s">
        <v>863</v>
      </c>
      <c r="K106" s="33"/>
      <c r="L106" s="166" t="str">
        <f t="shared" si="2"/>
        <v>16/6/1982</v>
      </c>
      <c r="N106" s="4">
        <f t="shared" ca="1" si="3"/>
        <v>43</v>
      </c>
    </row>
    <row r="107" spans="1:14" s="4" customFormat="1" ht="16" x14ac:dyDescent="0.15">
      <c r="A107" s="12" t="s">
        <v>474</v>
      </c>
      <c r="B107" s="49" t="s">
        <v>475</v>
      </c>
      <c r="C107" s="50"/>
      <c r="D107" s="33"/>
      <c r="E107" s="10"/>
      <c r="F107" s="10"/>
      <c r="G107" s="10"/>
      <c r="H107" s="49"/>
      <c r="I107" s="10"/>
      <c r="J107" s="10"/>
      <c r="K107" s="33"/>
      <c r="L107" s="166"/>
    </row>
    <row r="108" spans="1:14" s="4" customFormat="1" ht="19.5" customHeight="1" x14ac:dyDescent="0.15">
      <c r="A108" s="12">
        <v>1</v>
      </c>
      <c r="B108" s="135" t="s">
        <v>951</v>
      </c>
      <c r="C108" s="135"/>
      <c r="D108" s="135"/>
      <c r="E108" s="135"/>
      <c r="F108" s="135"/>
      <c r="G108" s="135"/>
      <c r="H108" s="135"/>
      <c r="I108" s="135"/>
      <c r="J108" s="135"/>
      <c r="K108" s="135"/>
      <c r="L108" s="166"/>
    </row>
    <row r="109" spans="1:14" s="4" customFormat="1" ht="68" x14ac:dyDescent="0.15">
      <c r="A109" s="16" t="s">
        <v>16</v>
      </c>
      <c r="B109" s="14" t="s">
        <v>275</v>
      </c>
      <c r="C109" s="16" t="s">
        <v>576</v>
      </c>
      <c r="D109" s="21"/>
      <c r="E109" s="20" t="s">
        <v>577</v>
      </c>
      <c r="F109" s="19" t="s">
        <v>578</v>
      </c>
      <c r="G109" s="20" t="s">
        <v>579</v>
      </c>
      <c r="H109" s="14"/>
      <c r="I109" s="10"/>
      <c r="J109" s="54" t="s">
        <v>870</v>
      </c>
      <c r="K109" s="33"/>
      <c r="L109" s="166"/>
    </row>
    <row r="110" spans="1:14" s="4" customFormat="1" ht="51" x14ac:dyDescent="0.15">
      <c r="A110" s="16" t="s">
        <v>50</v>
      </c>
      <c r="B110" s="21" t="s">
        <v>580</v>
      </c>
      <c r="C110" s="16" t="s">
        <v>581</v>
      </c>
      <c r="D110" s="33"/>
      <c r="E110" s="20" t="s">
        <v>582</v>
      </c>
      <c r="F110" s="14" t="s">
        <v>583</v>
      </c>
      <c r="G110" s="20" t="s">
        <v>584</v>
      </c>
      <c r="H110" s="14"/>
      <c r="I110" s="10"/>
      <c r="J110" s="14" t="s">
        <v>872</v>
      </c>
      <c r="K110" s="33"/>
      <c r="L110" s="166"/>
    </row>
    <row r="111" spans="1:14" s="4" customFormat="1" ht="51" x14ac:dyDescent="0.15">
      <c r="A111" s="16" t="s">
        <v>113</v>
      </c>
      <c r="B111" s="14" t="s">
        <v>585</v>
      </c>
      <c r="C111" s="16" t="s">
        <v>586</v>
      </c>
      <c r="D111" s="33"/>
      <c r="E111" s="20" t="s">
        <v>587</v>
      </c>
      <c r="F111" s="19" t="s">
        <v>298</v>
      </c>
      <c r="G111" s="20" t="s">
        <v>588</v>
      </c>
      <c r="H111" s="14"/>
      <c r="I111" s="10"/>
      <c r="J111" s="14" t="s">
        <v>872</v>
      </c>
      <c r="K111" s="33"/>
      <c r="L111" s="166"/>
    </row>
    <row r="112" spans="1:14" s="4" customFormat="1" ht="68" x14ac:dyDescent="0.15">
      <c r="A112" s="16" t="s">
        <v>155</v>
      </c>
      <c r="B112" s="14" t="s">
        <v>590</v>
      </c>
      <c r="C112" s="16" t="s">
        <v>591</v>
      </c>
      <c r="D112" s="33"/>
      <c r="E112" s="20" t="s">
        <v>592</v>
      </c>
      <c r="F112" s="19" t="s">
        <v>298</v>
      </c>
      <c r="G112" s="20" t="s">
        <v>588</v>
      </c>
      <c r="H112" s="14"/>
      <c r="I112" s="10"/>
      <c r="J112" s="14" t="s">
        <v>872</v>
      </c>
      <c r="K112" s="33"/>
      <c r="L112" s="166"/>
    </row>
    <row r="113" spans="1:12" s="4" customFormat="1" ht="51" x14ac:dyDescent="0.15">
      <c r="A113" s="16" t="s">
        <v>212</v>
      </c>
      <c r="B113" s="14" t="s">
        <v>476</v>
      </c>
      <c r="C113" s="15" t="s">
        <v>477</v>
      </c>
      <c r="D113" s="33"/>
      <c r="E113" s="14" t="s">
        <v>478</v>
      </c>
      <c r="F113" s="14" t="s">
        <v>479</v>
      </c>
      <c r="G113" s="20" t="s">
        <v>480</v>
      </c>
      <c r="H113" s="14"/>
      <c r="I113" s="10"/>
      <c r="J113" s="14" t="s">
        <v>872</v>
      </c>
      <c r="K113" s="33"/>
      <c r="L113" s="166"/>
    </row>
    <row r="114" spans="1:12" s="4" customFormat="1" ht="70.5" customHeight="1" x14ac:dyDescent="0.15">
      <c r="A114" s="16" t="s">
        <v>267</v>
      </c>
      <c r="B114" s="14" t="s">
        <v>486</v>
      </c>
      <c r="C114" s="15" t="s">
        <v>487</v>
      </c>
      <c r="D114" s="33"/>
      <c r="E114" s="14" t="s">
        <v>488</v>
      </c>
      <c r="F114" s="14"/>
      <c r="G114" s="20" t="s">
        <v>489</v>
      </c>
      <c r="H114" s="14"/>
      <c r="I114" s="10"/>
      <c r="J114" s="14" t="s">
        <v>872</v>
      </c>
      <c r="K114" s="33"/>
      <c r="L114" s="166"/>
    </row>
    <row r="115" spans="1:12" s="4" customFormat="1" ht="70.5" customHeight="1" x14ac:dyDescent="0.15">
      <c r="A115" s="16" t="s">
        <v>323</v>
      </c>
      <c r="B115" s="14" t="s">
        <v>490</v>
      </c>
      <c r="C115" s="31">
        <v>31100</v>
      </c>
      <c r="D115" s="33"/>
      <c r="E115" s="20" t="s">
        <v>491</v>
      </c>
      <c r="F115" s="20" t="s">
        <v>492</v>
      </c>
      <c r="G115" s="20" t="s">
        <v>493</v>
      </c>
      <c r="H115" s="14"/>
      <c r="I115" s="10"/>
      <c r="J115" s="14" t="s">
        <v>871</v>
      </c>
      <c r="K115" s="33"/>
      <c r="L115" s="166"/>
    </row>
    <row r="116" spans="1:12" s="4" customFormat="1" ht="72.75" customHeight="1" x14ac:dyDescent="0.15">
      <c r="A116" s="16" t="s">
        <v>351</v>
      </c>
      <c r="B116" s="14" t="s">
        <v>494</v>
      </c>
      <c r="C116" s="15"/>
      <c r="D116" s="15" t="s">
        <v>495</v>
      </c>
      <c r="E116" s="20" t="s">
        <v>496</v>
      </c>
      <c r="F116" s="14"/>
      <c r="G116" s="20" t="s">
        <v>497</v>
      </c>
      <c r="H116" s="14"/>
      <c r="I116" s="10"/>
      <c r="J116" s="14" t="s">
        <v>871</v>
      </c>
      <c r="K116" s="33"/>
      <c r="L116" s="166"/>
    </row>
    <row r="117" spans="1:12" s="4" customFormat="1" ht="57.75" customHeight="1" x14ac:dyDescent="0.15">
      <c r="A117" s="16" t="s">
        <v>503</v>
      </c>
      <c r="B117" s="14" t="s">
        <v>498</v>
      </c>
      <c r="C117" s="32"/>
      <c r="D117" s="32" t="s">
        <v>499</v>
      </c>
      <c r="E117" s="20" t="s">
        <v>500</v>
      </c>
      <c r="F117" s="20" t="s">
        <v>501</v>
      </c>
      <c r="G117" s="20" t="s">
        <v>502</v>
      </c>
      <c r="H117" s="14"/>
      <c r="I117" s="10"/>
      <c r="J117" s="14" t="s">
        <v>873</v>
      </c>
      <c r="K117" s="33"/>
      <c r="L117" s="166"/>
    </row>
    <row r="118" spans="1:12" s="4" customFormat="1" ht="85" x14ac:dyDescent="0.15">
      <c r="A118" s="16" t="s">
        <v>847</v>
      </c>
      <c r="B118" s="14" t="s">
        <v>504</v>
      </c>
      <c r="C118" s="32"/>
      <c r="D118" s="32" t="s">
        <v>505</v>
      </c>
      <c r="E118" s="20" t="s">
        <v>506</v>
      </c>
      <c r="F118" s="20" t="s">
        <v>501</v>
      </c>
      <c r="G118" s="20" t="s">
        <v>507</v>
      </c>
      <c r="H118" s="14"/>
      <c r="I118" s="10"/>
      <c r="J118" s="14" t="s">
        <v>871</v>
      </c>
      <c r="K118" s="33"/>
      <c r="L118" s="166"/>
    </row>
    <row r="119" spans="1:12" s="4" customFormat="1" ht="51" x14ac:dyDescent="0.15">
      <c r="A119" s="16" t="s">
        <v>508</v>
      </c>
      <c r="B119" s="17" t="s">
        <v>509</v>
      </c>
      <c r="C119" s="51" t="s">
        <v>510</v>
      </c>
      <c r="D119" s="33"/>
      <c r="E119" s="20" t="s">
        <v>491</v>
      </c>
      <c r="F119" s="20" t="s">
        <v>502</v>
      </c>
      <c r="G119" s="20" t="s">
        <v>502</v>
      </c>
      <c r="H119" s="17"/>
      <c r="I119" s="10"/>
      <c r="J119" s="14" t="s">
        <v>871</v>
      </c>
      <c r="K119" s="33"/>
      <c r="L119" s="166"/>
    </row>
    <row r="120" spans="1:12" s="4" customFormat="1" ht="68" x14ac:dyDescent="0.15">
      <c r="A120" s="16" t="s">
        <v>511</v>
      </c>
      <c r="B120" s="14" t="s">
        <v>512</v>
      </c>
      <c r="C120" s="40"/>
      <c r="D120" s="42" t="s">
        <v>513</v>
      </c>
      <c r="E120" s="20" t="s">
        <v>514</v>
      </c>
      <c r="F120" s="49"/>
      <c r="G120" s="20" t="s">
        <v>66</v>
      </c>
      <c r="H120" s="17"/>
      <c r="I120" s="10"/>
      <c r="J120" s="14" t="s">
        <v>871</v>
      </c>
      <c r="K120" s="33" t="s">
        <v>850</v>
      </c>
      <c r="L120" s="166"/>
    </row>
    <row r="121" spans="1:12" s="4" customFormat="1" ht="68" x14ac:dyDescent="0.15">
      <c r="A121" s="16" t="s">
        <v>515</v>
      </c>
      <c r="B121" s="17" t="s">
        <v>516</v>
      </c>
      <c r="C121" s="52" t="s">
        <v>517</v>
      </c>
      <c r="D121" s="33"/>
      <c r="E121" s="20" t="s">
        <v>518</v>
      </c>
      <c r="F121" s="17"/>
      <c r="G121" s="20" t="s">
        <v>519</v>
      </c>
      <c r="H121" s="17"/>
      <c r="I121" s="10"/>
      <c r="J121" s="14" t="s">
        <v>871</v>
      </c>
      <c r="K121" s="33" t="s">
        <v>851</v>
      </c>
      <c r="L121" s="166"/>
    </row>
    <row r="122" spans="1:12" s="4" customFormat="1" ht="51" x14ac:dyDescent="0.15">
      <c r="A122" s="16" t="s">
        <v>520</v>
      </c>
      <c r="B122" s="14" t="s">
        <v>521</v>
      </c>
      <c r="C122" s="32" t="s">
        <v>396</v>
      </c>
      <c r="D122" s="33"/>
      <c r="E122" s="20" t="s">
        <v>522</v>
      </c>
      <c r="F122" s="19" t="s">
        <v>523</v>
      </c>
      <c r="G122" s="20" t="s">
        <v>524</v>
      </c>
      <c r="H122" s="14"/>
      <c r="I122" s="10"/>
      <c r="J122" s="14" t="s">
        <v>871</v>
      </c>
      <c r="K122" s="33"/>
      <c r="L122" s="166"/>
    </row>
    <row r="123" spans="1:12" s="4" customFormat="1" ht="34" x14ac:dyDescent="0.15">
      <c r="A123" s="16" t="s">
        <v>525</v>
      </c>
      <c r="B123" s="14" t="s">
        <v>526</v>
      </c>
      <c r="C123" s="32" t="s">
        <v>527</v>
      </c>
      <c r="D123" s="33"/>
      <c r="E123" s="20" t="s">
        <v>528</v>
      </c>
      <c r="F123" s="14"/>
      <c r="G123" s="20" t="s">
        <v>529</v>
      </c>
      <c r="H123" s="14"/>
      <c r="I123" s="10"/>
      <c r="J123" s="14" t="s">
        <v>871</v>
      </c>
      <c r="K123" s="33"/>
      <c r="L123" s="166"/>
    </row>
    <row r="124" spans="1:12" s="4" customFormat="1" ht="51" x14ac:dyDescent="0.15">
      <c r="A124" s="16" t="s">
        <v>848</v>
      </c>
      <c r="B124" s="17" t="s">
        <v>531</v>
      </c>
      <c r="C124" s="52"/>
      <c r="D124" s="52" t="s">
        <v>532</v>
      </c>
      <c r="E124" s="20" t="s">
        <v>70</v>
      </c>
      <c r="F124" s="10"/>
      <c r="G124" s="20" t="s">
        <v>533</v>
      </c>
      <c r="H124" s="17"/>
      <c r="I124" s="10"/>
      <c r="J124" s="14" t="s">
        <v>871</v>
      </c>
      <c r="K124" s="33"/>
      <c r="L124" s="166"/>
    </row>
    <row r="125" spans="1:12" s="4" customFormat="1" ht="34" x14ac:dyDescent="0.15">
      <c r="A125" s="16" t="s">
        <v>530</v>
      </c>
      <c r="B125" s="26" t="s">
        <v>535</v>
      </c>
      <c r="C125" s="52"/>
      <c r="D125" s="53" t="s">
        <v>536</v>
      </c>
      <c r="E125" s="20" t="s">
        <v>537</v>
      </c>
      <c r="F125" s="49"/>
      <c r="G125" s="20" t="s">
        <v>538</v>
      </c>
      <c r="H125" s="17"/>
      <c r="I125" s="10"/>
      <c r="J125" s="14" t="s">
        <v>871</v>
      </c>
      <c r="K125" s="33"/>
      <c r="L125" s="166"/>
    </row>
    <row r="126" spans="1:12" s="4" customFormat="1" ht="34" x14ac:dyDescent="0.15">
      <c r="A126" s="16" t="s">
        <v>534</v>
      </c>
      <c r="B126" s="17" t="s">
        <v>540</v>
      </c>
      <c r="C126" s="51" t="s">
        <v>541</v>
      </c>
      <c r="D126" s="33"/>
      <c r="E126" s="20" t="s">
        <v>542</v>
      </c>
      <c r="F126" s="19" t="s">
        <v>543</v>
      </c>
      <c r="G126" s="20" t="s">
        <v>77</v>
      </c>
      <c r="H126" s="17"/>
      <c r="I126" s="10"/>
      <c r="J126" s="14" t="s">
        <v>871</v>
      </c>
      <c r="K126" s="33"/>
      <c r="L126" s="166"/>
    </row>
    <row r="127" spans="1:12" s="4" customFormat="1" ht="85" x14ac:dyDescent="0.15">
      <c r="A127" s="16" t="s">
        <v>539</v>
      </c>
      <c r="B127" s="21" t="s">
        <v>566</v>
      </c>
      <c r="C127" s="16"/>
      <c r="D127" s="16" t="s">
        <v>567</v>
      </c>
      <c r="E127" s="38" t="s">
        <v>568</v>
      </c>
      <c r="F127" s="14"/>
      <c r="G127" s="20" t="s">
        <v>92</v>
      </c>
      <c r="H127" s="20" t="s">
        <v>92</v>
      </c>
      <c r="I127" s="10"/>
      <c r="J127" s="14" t="s">
        <v>858</v>
      </c>
      <c r="K127" s="33"/>
      <c r="L127" s="166"/>
    </row>
    <row r="128" spans="1:12" s="4" customFormat="1" ht="51" x14ac:dyDescent="0.15">
      <c r="A128" s="16" t="s">
        <v>544</v>
      </c>
      <c r="B128" s="14" t="s">
        <v>545</v>
      </c>
      <c r="C128" s="32" t="s">
        <v>546</v>
      </c>
      <c r="D128" s="33"/>
      <c r="E128" s="36" t="s">
        <v>413</v>
      </c>
      <c r="F128" s="10"/>
      <c r="G128" s="36" t="s">
        <v>547</v>
      </c>
      <c r="H128" s="14"/>
      <c r="I128" s="10"/>
      <c r="J128" s="14" t="s">
        <v>871</v>
      </c>
      <c r="K128" s="33"/>
      <c r="L128" s="166"/>
    </row>
    <row r="129" spans="1:12" s="4" customFormat="1" ht="51" x14ac:dyDescent="0.15">
      <c r="A129" s="16" t="s">
        <v>548</v>
      </c>
      <c r="B129" s="14" t="s">
        <v>549</v>
      </c>
      <c r="C129" s="31">
        <v>34953</v>
      </c>
      <c r="D129" s="33"/>
      <c r="E129" s="36" t="s">
        <v>413</v>
      </c>
      <c r="F129" s="10"/>
      <c r="G129" s="14" t="s">
        <v>550</v>
      </c>
      <c r="H129" s="14"/>
      <c r="I129" s="10"/>
      <c r="J129" s="14" t="s">
        <v>871</v>
      </c>
      <c r="K129" s="33"/>
      <c r="L129" s="166"/>
    </row>
    <row r="130" spans="1:12" s="4" customFormat="1" ht="51" x14ac:dyDescent="0.15">
      <c r="A130" s="16" t="s">
        <v>551</v>
      </c>
      <c r="B130" s="21" t="s">
        <v>552</v>
      </c>
      <c r="C130" s="15" t="s">
        <v>553</v>
      </c>
      <c r="D130" s="33"/>
      <c r="E130" s="20" t="s">
        <v>554</v>
      </c>
      <c r="F130" s="20" t="s">
        <v>298</v>
      </c>
      <c r="G130" s="20" t="s">
        <v>92</v>
      </c>
      <c r="H130" s="20" t="s">
        <v>92</v>
      </c>
      <c r="I130" s="10"/>
      <c r="J130" s="14" t="s">
        <v>874</v>
      </c>
      <c r="K130" s="33"/>
      <c r="L130" s="166"/>
    </row>
    <row r="131" spans="1:12" s="4" customFormat="1" ht="51" x14ac:dyDescent="0.15">
      <c r="A131" s="16" t="s">
        <v>555</v>
      </c>
      <c r="B131" s="21" t="s">
        <v>556</v>
      </c>
      <c r="C131" s="16"/>
      <c r="D131" s="16" t="s">
        <v>557</v>
      </c>
      <c r="E131" s="20" t="s">
        <v>558</v>
      </c>
      <c r="F131" s="20" t="s">
        <v>559</v>
      </c>
      <c r="G131" s="20" t="s">
        <v>538</v>
      </c>
      <c r="H131" s="17"/>
      <c r="I131" s="10"/>
      <c r="J131" s="14" t="s">
        <v>871</v>
      </c>
      <c r="K131" s="33"/>
      <c r="L131" s="166"/>
    </row>
    <row r="132" spans="1:12" s="4" customFormat="1" ht="51" x14ac:dyDescent="0.15">
      <c r="A132" s="16" t="s">
        <v>849</v>
      </c>
      <c r="B132" s="21" t="s">
        <v>561</v>
      </c>
      <c r="C132" s="16"/>
      <c r="D132" s="16" t="s">
        <v>562</v>
      </c>
      <c r="E132" s="20" t="s">
        <v>563</v>
      </c>
      <c r="F132" s="14"/>
      <c r="G132" s="20" t="s">
        <v>255</v>
      </c>
      <c r="H132" s="17"/>
      <c r="I132" s="10"/>
      <c r="J132" s="14" t="s">
        <v>871</v>
      </c>
      <c r="K132" s="33"/>
      <c r="L132" s="166"/>
    </row>
    <row r="133" spans="1:12" s="4" customFormat="1" ht="153" x14ac:dyDescent="0.15">
      <c r="A133" s="16" t="s">
        <v>560</v>
      </c>
      <c r="B133" s="21" t="s">
        <v>569</v>
      </c>
      <c r="C133" s="16"/>
      <c r="D133" s="16" t="s">
        <v>570</v>
      </c>
      <c r="E133" s="38" t="s">
        <v>571</v>
      </c>
      <c r="F133" s="14"/>
      <c r="G133" s="14"/>
      <c r="H133" s="20" t="s">
        <v>572</v>
      </c>
      <c r="I133" s="10"/>
      <c r="J133" s="14" t="s">
        <v>871</v>
      </c>
      <c r="K133" s="33"/>
      <c r="L133" s="166"/>
    </row>
    <row r="134" spans="1:12" s="4" customFormat="1" ht="34" x14ac:dyDescent="0.15">
      <c r="A134" s="16" t="s">
        <v>910</v>
      </c>
      <c r="B134" s="14" t="s">
        <v>573</v>
      </c>
      <c r="C134" s="32"/>
      <c r="D134" s="32" t="s">
        <v>574</v>
      </c>
      <c r="E134" s="14" t="s">
        <v>575</v>
      </c>
      <c r="F134" s="14"/>
      <c r="G134" s="14" t="s">
        <v>77</v>
      </c>
      <c r="H134" s="14"/>
      <c r="I134" s="10"/>
      <c r="J134" s="14" t="s">
        <v>871</v>
      </c>
      <c r="K134" s="33"/>
      <c r="L134" s="166"/>
    </row>
    <row r="135" spans="1:12" s="4" customFormat="1" ht="68" x14ac:dyDescent="0.15">
      <c r="A135" s="16" t="s">
        <v>911</v>
      </c>
      <c r="B135" s="14" t="s">
        <v>593</v>
      </c>
      <c r="C135" s="32"/>
      <c r="D135" s="32" t="s">
        <v>594</v>
      </c>
      <c r="E135" s="20" t="s">
        <v>595</v>
      </c>
      <c r="F135" s="19"/>
      <c r="G135" s="20" t="s">
        <v>588</v>
      </c>
      <c r="H135" s="14"/>
      <c r="I135" s="10"/>
      <c r="J135" s="14" t="s">
        <v>875</v>
      </c>
      <c r="K135" s="33"/>
      <c r="L135" s="166"/>
    </row>
    <row r="136" spans="1:12" s="4" customFormat="1" ht="51" x14ac:dyDescent="0.15">
      <c r="A136" s="16" t="s">
        <v>912</v>
      </c>
      <c r="B136" s="14" t="s">
        <v>596</v>
      </c>
      <c r="C136" s="32"/>
      <c r="D136" s="32" t="s">
        <v>597</v>
      </c>
      <c r="E136" s="20" t="s">
        <v>598</v>
      </c>
      <c r="F136" s="19"/>
      <c r="G136" s="20" t="s">
        <v>92</v>
      </c>
      <c r="H136" s="14"/>
      <c r="I136" s="10"/>
      <c r="J136" s="14" t="s">
        <v>876</v>
      </c>
      <c r="K136" s="33"/>
      <c r="L136" s="166"/>
    </row>
    <row r="137" spans="1:12" s="4" customFormat="1" ht="51" x14ac:dyDescent="0.15">
      <c r="A137" s="16" t="s">
        <v>913</v>
      </c>
      <c r="B137" s="14" t="s">
        <v>599</v>
      </c>
      <c r="C137" s="32"/>
      <c r="D137" s="32" t="s">
        <v>600</v>
      </c>
      <c r="E137" s="20" t="s">
        <v>601</v>
      </c>
      <c r="F137" s="19"/>
      <c r="G137" s="20" t="s">
        <v>489</v>
      </c>
      <c r="H137" s="14"/>
      <c r="I137" s="10"/>
      <c r="J137" s="14" t="s">
        <v>871</v>
      </c>
      <c r="K137" s="33"/>
      <c r="L137" s="166"/>
    </row>
    <row r="138" spans="1:12" s="4" customFormat="1" ht="51" x14ac:dyDescent="0.15">
      <c r="A138" s="16" t="s">
        <v>914</v>
      </c>
      <c r="B138" s="14" t="s">
        <v>602</v>
      </c>
      <c r="C138" s="32" t="s">
        <v>603</v>
      </c>
      <c r="D138" s="33"/>
      <c r="E138" s="20" t="s">
        <v>604</v>
      </c>
      <c r="F138" s="19"/>
      <c r="G138" s="20" t="s">
        <v>92</v>
      </c>
      <c r="H138" s="14"/>
      <c r="I138" s="10"/>
      <c r="J138" s="14" t="s">
        <v>871</v>
      </c>
      <c r="K138" s="33"/>
      <c r="L138" s="166"/>
    </row>
    <row r="139" spans="1:12" s="4" customFormat="1" ht="51" x14ac:dyDescent="0.15">
      <c r="A139" s="16" t="s">
        <v>915</v>
      </c>
      <c r="B139" s="14" t="s">
        <v>605</v>
      </c>
      <c r="C139" s="32"/>
      <c r="D139" s="32" t="s">
        <v>606</v>
      </c>
      <c r="E139" s="20" t="s">
        <v>607</v>
      </c>
      <c r="F139" s="19"/>
      <c r="G139" s="20" t="s">
        <v>92</v>
      </c>
      <c r="H139" s="14"/>
      <c r="I139" s="10"/>
      <c r="J139" s="14" t="s">
        <v>871</v>
      </c>
      <c r="K139" s="33"/>
      <c r="L139" s="166"/>
    </row>
    <row r="140" spans="1:12" s="4" customFormat="1" ht="68" x14ac:dyDescent="0.15">
      <c r="A140" s="16" t="s">
        <v>916</v>
      </c>
      <c r="B140" s="14" t="s">
        <v>608</v>
      </c>
      <c r="C140" s="32"/>
      <c r="D140" s="32" t="s">
        <v>609</v>
      </c>
      <c r="E140" s="20" t="s">
        <v>610</v>
      </c>
      <c r="F140" s="19"/>
      <c r="G140" s="20" t="s">
        <v>611</v>
      </c>
      <c r="H140" s="14"/>
      <c r="I140" s="10"/>
      <c r="J140" s="14" t="s">
        <v>871</v>
      </c>
      <c r="K140" s="33"/>
      <c r="L140" s="166"/>
    </row>
    <row r="141" spans="1:12" s="4" customFormat="1" ht="68" x14ac:dyDescent="0.15">
      <c r="A141" s="16" t="s">
        <v>917</v>
      </c>
      <c r="B141" s="14" t="s">
        <v>612</v>
      </c>
      <c r="C141" s="32"/>
      <c r="D141" s="32" t="s">
        <v>613</v>
      </c>
      <c r="E141" s="20" t="s">
        <v>592</v>
      </c>
      <c r="F141" s="19" t="s">
        <v>614</v>
      </c>
      <c r="G141" s="20" t="s">
        <v>584</v>
      </c>
      <c r="H141" s="14"/>
      <c r="I141" s="10"/>
      <c r="J141" s="14" t="s">
        <v>871</v>
      </c>
      <c r="K141" s="33"/>
      <c r="L141" s="166"/>
    </row>
    <row r="142" spans="1:12" s="4" customFormat="1" ht="68" x14ac:dyDescent="0.15">
      <c r="A142" s="16" t="s">
        <v>918</v>
      </c>
      <c r="B142" s="14" t="s">
        <v>615</v>
      </c>
      <c r="C142" s="32"/>
      <c r="D142" s="32" t="s">
        <v>616</v>
      </c>
      <c r="E142" s="20" t="s">
        <v>617</v>
      </c>
      <c r="F142" s="19"/>
      <c r="G142" s="20" t="s">
        <v>618</v>
      </c>
      <c r="H142" s="14"/>
      <c r="I142" s="10"/>
      <c r="J142" s="14" t="s">
        <v>871</v>
      </c>
      <c r="K142" s="33"/>
      <c r="L142" s="166"/>
    </row>
    <row r="143" spans="1:12" s="4" customFormat="1" ht="68" x14ac:dyDescent="0.15">
      <c r="A143" s="16" t="s">
        <v>919</v>
      </c>
      <c r="B143" s="14" t="s">
        <v>620</v>
      </c>
      <c r="C143" s="32"/>
      <c r="D143" s="32" t="s">
        <v>621</v>
      </c>
      <c r="E143" s="20" t="s">
        <v>619</v>
      </c>
      <c r="F143" s="19"/>
      <c r="G143" s="20" t="s">
        <v>622</v>
      </c>
      <c r="H143" s="14"/>
      <c r="I143" s="10"/>
      <c r="J143" s="14" t="s">
        <v>871</v>
      </c>
      <c r="K143" s="33"/>
      <c r="L143" s="166"/>
    </row>
    <row r="144" spans="1:12" s="4" customFormat="1" ht="51" x14ac:dyDescent="0.15">
      <c r="A144" s="16" t="s">
        <v>920</v>
      </c>
      <c r="B144" s="14" t="s">
        <v>623</v>
      </c>
      <c r="C144" s="32" t="s">
        <v>624</v>
      </c>
      <c r="D144" s="33"/>
      <c r="E144" s="20" t="s">
        <v>625</v>
      </c>
      <c r="F144" s="19"/>
      <c r="G144" s="20" t="s">
        <v>92</v>
      </c>
      <c r="H144" s="14"/>
      <c r="I144" s="10"/>
      <c r="J144" s="14" t="s">
        <v>871</v>
      </c>
      <c r="K144" s="33"/>
      <c r="L144" s="166"/>
    </row>
    <row r="145" spans="1:12" s="4" customFormat="1" ht="51" x14ac:dyDescent="0.15">
      <c r="A145" s="16" t="s">
        <v>921</v>
      </c>
      <c r="B145" s="14" t="s">
        <v>626</v>
      </c>
      <c r="C145" s="32" t="s">
        <v>627</v>
      </c>
      <c r="D145" s="33"/>
      <c r="E145" s="20" t="s">
        <v>604</v>
      </c>
      <c r="F145" s="20"/>
      <c r="G145" s="20" t="s">
        <v>584</v>
      </c>
      <c r="H145" s="14"/>
      <c r="I145" s="10"/>
      <c r="J145" s="14" t="s">
        <v>871</v>
      </c>
      <c r="K145" s="33"/>
      <c r="L145" s="166"/>
    </row>
    <row r="146" spans="1:12" s="4" customFormat="1" ht="68" x14ac:dyDescent="0.15">
      <c r="A146" s="16" t="s">
        <v>922</v>
      </c>
      <c r="B146" s="14" t="s">
        <v>628</v>
      </c>
      <c r="C146" s="32" t="s">
        <v>629</v>
      </c>
      <c r="D146" s="33"/>
      <c r="E146" s="20" t="s">
        <v>630</v>
      </c>
      <c r="F146" s="20"/>
      <c r="G146" s="20" t="s">
        <v>631</v>
      </c>
      <c r="H146" s="14"/>
      <c r="I146" s="10"/>
      <c r="J146" s="14" t="s">
        <v>877</v>
      </c>
      <c r="K146" s="33"/>
      <c r="L146" s="166"/>
    </row>
    <row r="147" spans="1:12" s="4" customFormat="1" ht="68" x14ac:dyDescent="0.15">
      <c r="A147" s="16" t="s">
        <v>923</v>
      </c>
      <c r="B147" s="14" t="s">
        <v>632</v>
      </c>
      <c r="C147" s="32"/>
      <c r="D147" s="32" t="s">
        <v>633</v>
      </c>
      <c r="E147" s="20" t="s">
        <v>595</v>
      </c>
      <c r="F147" s="20" t="s">
        <v>228</v>
      </c>
      <c r="G147" s="20" t="s">
        <v>87</v>
      </c>
      <c r="H147" s="14"/>
      <c r="I147" s="10"/>
      <c r="J147" s="14" t="s">
        <v>878</v>
      </c>
      <c r="K147" s="33"/>
      <c r="L147" s="166"/>
    </row>
    <row r="148" spans="1:12" s="4" customFormat="1" ht="68" x14ac:dyDescent="0.15">
      <c r="A148" s="16" t="s">
        <v>924</v>
      </c>
      <c r="B148" s="14" t="s">
        <v>634</v>
      </c>
      <c r="C148" s="32" t="s">
        <v>635</v>
      </c>
      <c r="D148" s="33"/>
      <c r="E148" s="20" t="s">
        <v>592</v>
      </c>
      <c r="F148" s="20"/>
      <c r="G148" s="20" t="s">
        <v>92</v>
      </c>
      <c r="H148" s="14"/>
      <c r="I148" s="10"/>
      <c r="J148" s="14" t="s">
        <v>871</v>
      </c>
      <c r="K148" s="33"/>
      <c r="L148" s="166"/>
    </row>
    <row r="149" spans="1:12" s="4" customFormat="1" ht="68" x14ac:dyDescent="0.15">
      <c r="A149" s="16" t="s">
        <v>925</v>
      </c>
      <c r="B149" s="14" t="s">
        <v>636</v>
      </c>
      <c r="C149" s="32"/>
      <c r="D149" s="32" t="s">
        <v>637</v>
      </c>
      <c r="E149" s="20" t="s">
        <v>577</v>
      </c>
      <c r="F149" s="20"/>
      <c r="G149" s="20" t="s">
        <v>92</v>
      </c>
      <c r="H149" s="14"/>
      <c r="I149" s="10"/>
      <c r="J149" s="14" t="s">
        <v>871</v>
      </c>
      <c r="K149" s="33"/>
      <c r="L149" s="166"/>
    </row>
    <row r="150" spans="1:12" s="4" customFormat="1" ht="68" x14ac:dyDescent="0.15">
      <c r="A150" s="16" t="s">
        <v>926</v>
      </c>
      <c r="B150" s="14" t="s">
        <v>638</v>
      </c>
      <c r="C150" s="32" t="s">
        <v>639</v>
      </c>
      <c r="D150" s="33"/>
      <c r="E150" s="20" t="s">
        <v>592</v>
      </c>
      <c r="F150" s="20"/>
      <c r="G150" s="20" t="s">
        <v>588</v>
      </c>
      <c r="H150" s="14"/>
      <c r="I150" s="10"/>
      <c r="J150" s="14" t="s">
        <v>871</v>
      </c>
      <c r="K150" s="33"/>
      <c r="L150" s="166"/>
    </row>
    <row r="151" spans="1:12" s="4" customFormat="1" ht="51" x14ac:dyDescent="0.15">
      <c r="A151" s="16" t="s">
        <v>927</v>
      </c>
      <c r="B151" s="14" t="s">
        <v>640</v>
      </c>
      <c r="C151" s="32" t="s">
        <v>641</v>
      </c>
      <c r="D151" s="33"/>
      <c r="E151" s="20" t="s">
        <v>604</v>
      </c>
      <c r="F151" s="20"/>
      <c r="G151" s="20" t="s">
        <v>92</v>
      </c>
      <c r="H151" s="14"/>
      <c r="I151" s="10"/>
      <c r="J151" s="14" t="s">
        <v>871</v>
      </c>
      <c r="K151" s="33"/>
      <c r="L151" s="166"/>
    </row>
    <row r="152" spans="1:12" s="4" customFormat="1" ht="51" x14ac:dyDescent="0.15">
      <c r="A152" s="16" t="s">
        <v>928</v>
      </c>
      <c r="B152" s="14" t="s">
        <v>642</v>
      </c>
      <c r="C152" s="32" t="s">
        <v>643</v>
      </c>
      <c r="D152" s="33"/>
      <c r="E152" s="20" t="s">
        <v>644</v>
      </c>
      <c r="F152" s="20" t="s">
        <v>578</v>
      </c>
      <c r="G152" s="20" t="s">
        <v>645</v>
      </c>
      <c r="H152" s="14"/>
      <c r="I152" s="10"/>
      <c r="J152" s="14" t="s">
        <v>871</v>
      </c>
      <c r="K152" s="33"/>
      <c r="L152" s="166"/>
    </row>
    <row r="153" spans="1:12" s="4" customFormat="1" ht="68" x14ac:dyDescent="0.15">
      <c r="A153" s="16" t="s">
        <v>929</v>
      </c>
      <c r="B153" s="14" t="s">
        <v>646</v>
      </c>
      <c r="C153" s="32" t="s">
        <v>647</v>
      </c>
      <c r="D153" s="33"/>
      <c r="E153" s="20" t="s">
        <v>619</v>
      </c>
      <c r="F153" s="20"/>
      <c r="G153" s="20" t="s">
        <v>92</v>
      </c>
      <c r="H153" s="14"/>
      <c r="I153" s="10"/>
      <c r="J153" s="14" t="s">
        <v>871</v>
      </c>
      <c r="K153" s="33"/>
      <c r="L153" s="166"/>
    </row>
    <row r="154" spans="1:12" s="4" customFormat="1" ht="68" x14ac:dyDescent="0.15">
      <c r="A154" s="16" t="s">
        <v>930</v>
      </c>
      <c r="B154" s="14" t="s">
        <v>648</v>
      </c>
      <c r="C154" s="32" t="s">
        <v>649</v>
      </c>
      <c r="D154" s="33"/>
      <c r="E154" s="20" t="s">
        <v>650</v>
      </c>
      <c r="F154" s="20"/>
      <c r="G154" s="20" t="s">
        <v>92</v>
      </c>
      <c r="H154" s="14"/>
      <c r="I154" s="10"/>
      <c r="J154" s="14" t="s">
        <v>871</v>
      </c>
      <c r="K154" s="33"/>
      <c r="L154" s="166"/>
    </row>
    <row r="155" spans="1:12" s="4" customFormat="1" ht="68" x14ac:dyDescent="0.15">
      <c r="A155" s="16" t="s">
        <v>931</v>
      </c>
      <c r="B155" s="14" t="s">
        <v>651</v>
      </c>
      <c r="C155" s="32" t="s">
        <v>652</v>
      </c>
      <c r="D155" s="33"/>
      <c r="E155" s="20" t="s">
        <v>630</v>
      </c>
      <c r="F155" s="20" t="s">
        <v>228</v>
      </c>
      <c r="G155" s="20" t="s">
        <v>584</v>
      </c>
      <c r="H155" s="14"/>
      <c r="I155" s="10"/>
      <c r="J155" s="14" t="s">
        <v>871</v>
      </c>
      <c r="K155" s="33"/>
      <c r="L155" s="166"/>
    </row>
    <row r="156" spans="1:12" s="4" customFormat="1" ht="153" x14ac:dyDescent="0.15">
      <c r="A156" s="16" t="s">
        <v>932</v>
      </c>
      <c r="B156" s="20" t="s">
        <v>653</v>
      </c>
      <c r="C156" s="55" t="s">
        <v>654</v>
      </c>
      <c r="D156" s="33"/>
      <c r="E156" s="20" t="s">
        <v>655</v>
      </c>
      <c r="F156" s="20" t="s">
        <v>656</v>
      </c>
      <c r="G156" s="38" t="s">
        <v>657</v>
      </c>
      <c r="H156" s="38"/>
      <c r="I156" s="10"/>
      <c r="J156" s="14" t="s">
        <v>871</v>
      </c>
      <c r="K156" s="33"/>
      <c r="L156" s="166"/>
    </row>
    <row r="157" spans="1:12" s="4" customFormat="1" ht="68" x14ac:dyDescent="0.15">
      <c r="A157" s="16" t="s">
        <v>933</v>
      </c>
      <c r="B157" s="20" t="s">
        <v>658</v>
      </c>
      <c r="C157" s="55" t="s">
        <v>659</v>
      </c>
      <c r="D157" s="33"/>
      <c r="E157" s="20" t="s">
        <v>660</v>
      </c>
      <c r="F157" s="14"/>
      <c r="G157" s="20" t="s">
        <v>661</v>
      </c>
      <c r="H157" s="20"/>
      <c r="I157" s="20"/>
      <c r="J157" s="14" t="s">
        <v>871</v>
      </c>
      <c r="K157" s="33"/>
      <c r="L157" s="166"/>
    </row>
    <row r="158" spans="1:12" s="4" customFormat="1" ht="85" x14ac:dyDescent="0.15">
      <c r="A158" s="16" t="s">
        <v>934</v>
      </c>
      <c r="B158" s="20" t="s">
        <v>662</v>
      </c>
      <c r="C158" s="55" t="s">
        <v>564</v>
      </c>
      <c r="D158" s="33"/>
      <c r="E158" s="20" t="s">
        <v>663</v>
      </c>
      <c r="F158" s="14"/>
      <c r="G158" s="14"/>
      <c r="H158" s="20" t="s">
        <v>664</v>
      </c>
      <c r="I158" s="20"/>
      <c r="J158" s="14" t="s">
        <v>871</v>
      </c>
      <c r="K158" s="33"/>
      <c r="L158" s="166"/>
    </row>
    <row r="159" spans="1:12" s="4" customFormat="1" ht="51" x14ac:dyDescent="0.15">
      <c r="A159" s="16" t="s">
        <v>935</v>
      </c>
      <c r="B159" s="20" t="s">
        <v>665</v>
      </c>
      <c r="C159" s="55"/>
      <c r="D159" s="55" t="s">
        <v>666</v>
      </c>
      <c r="E159" s="20" t="s">
        <v>667</v>
      </c>
      <c r="F159" s="14"/>
      <c r="G159" s="20" t="s">
        <v>489</v>
      </c>
      <c r="H159" s="20" t="s">
        <v>668</v>
      </c>
      <c r="I159" s="20"/>
      <c r="J159" s="14" t="s">
        <v>871</v>
      </c>
      <c r="K159" s="33"/>
      <c r="L159" s="166"/>
    </row>
    <row r="160" spans="1:12" s="4" customFormat="1" ht="51" x14ac:dyDescent="0.15">
      <c r="A160" s="16" t="s">
        <v>936</v>
      </c>
      <c r="B160" s="20" t="s">
        <v>669</v>
      </c>
      <c r="C160" s="55" t="s">
        <v>670</v>
      </c>
      <c r="D160" s="33"/>
      <c r="E160" s="20" t="s">
        <v>671</v>
      </c>
      <c r="F160" s="14"/>
      <c r="G160" s="20" t="s">
        <v>56</v>
      </c>
      <c r="H160" s="20"/>
      <c r="I160" s="10"/>
      <c r="J160" s="14" t="s">
        <v>871</v>
      </c>
      <c r="K160" s="33"/>
      <c r="L160" s="166"/>
    </row>
    <row r="161" spans="1:12" s="4" customFormat="1" ht="51" x14ac:dyDescent="0.15">
      <c r="A161" s="16" t="s">
        <v>937</v>
      </c>
      <c r="B161" s="20" t="s">
        <v>672</v>
      </c>
      <c r="C161" s="55" t="s">
        <v>673</v>
      </c>
      <c r="D161" s="33"/>
      <c r="E161" s="20" t="s">
        <v>674</v>
      </c>
      <c r="F161" s="14"/>
      <c r="G161" s="20" t="s">
        <v>56</v>
      </c>
      <c r="H161" s="20"/>
      <c r="I161" s="10"/>
      <c r="J161" s="14" t="s">
        <v>871</v>
      </c>
      <c r="K161" s="33"/>
      <c r="L161" s="166"/>
    </row>
    <row r="162" spans="1:12" s="4" customFormat="1" ht="51" x14ac:dyDescent="0.15">
      <c r="A162" s="16" t="s">
        <v>938</v>
      </c>
      <c r="B162" s="20" t="s">
        <v>675</v>
      </c>
      <c r="C162" s="55" t="s">
        <v>676</v>
      </c>
      <c r="D162" s="33"/>
      <c r="E162" s="20" t="s">
        <v>677</v>
      </c>
      <c r="F162" s="14"/>
      <c r="G162" s="20" t="s">
        <v>56</v>
      </c>
      <c r="H162" s="20"/>
      <c r="I162" s="10"/>
      <c r="J162" s="14" t="s">
        <v>871</v>
      </c>
      <c r="K162" s="33" t="s">
        <v>962</v>
      </c>
      <c r="L162" s="166"/>
    </row>
    <row r="163" spans="1:12" s="4" customFormat="1" ht="68" x14ac:dyDescent="0.15">
      <c r="A163" s="16" t="s">
        <v>939</v>
      </c>
      <c r="B163" s="20" t="s">
        <v>678</v>
      </c>
      <c r="C163" s="55"/>
      <c r="D163" s="55" t="s">
        <v>679</v>
      </c>
      <c r="E163" s="20" t="s">
        <v>680</v>
      </c>
      <c r="F163" s="14" t="s">
        <v>298</v>
      </c>
      <c r="G163" s="20" t="s">
        <v>489</v>
      </c>
      <c r="H163" s="20"/>
      <c r="I163" s="10"/>
      <c r="J163" s="14" t="s">
        <v>871</v>
      </c>
      <c r="K163" s="33"/>
      <c r="L163" s="166"/>
    </row>
    <row r="164" spans="1:12" s="4" customFormat="1" ht="85" x14ac:dyDescent="0.15">
      <c r="A164" s="16" t="s">
        <v>940</v>
      </c>
      <c r="B164" s="20" t="s">
        <v>681</v>
      </c>
      <c r="C164" s="55" t="s">
        <v>682</v>
      </c>
      <c r="D164" s="33"/>
      <c r="E164" s="20" t="s">
        <v>683</v>
      </c>
      <c r="F164" s="14"/>
      <c r="G164" s="20" t="s">
        <v>92</v>
      </c>
      <c r="H164" s="14"/>
      <c r="I164" s="10"/>
      <c r="J164" s="14" t="s">
        <v>871</v>
      </c>
      <c r="K164" s="33"/>
      <c r="L164" s="166"/>
    </row>
    <row r="165" spans="1:12" s="4" customFormat="1" ht="68" x14ac:dyDescent="0.15">
      <c r="A165" s="16" t="s">
        <v>941</v>
      </c>
      <c r="B165" s="20" t="s">
        <v>684</v>
      </c>
      <c r="C165" s="56"/>
      <c r="D165" s="56" t="s">
        <v>685</v>
      </c>
      <c r="E165" s="19" t="s">
        <v>686</v>
      </c>
      <c r="F165" s="10"/>
      <c r="G165" s="20" t="s">
        <v>687</v>
      </c>
      <c r="H165" s="14"/>
      <c r="I165" s="10"/>
      <c r="J165" s="14" t="s">
        <v>871</v>
      </c>
      <c r="K165" s="33"/>
      <c r="L165" s="166"/>
    </row>
    <row r="166" spans="1:12" s="4" customFormat="1" ht="68" x14ac:dyDescent="0.2">
      <c r="A166" s="16" t="s">
        <v>942</v>
      </c>
      <c r="B166" s="20" t="s">
        <v>688</v>
      </c>
      <c r="C166" s="57" t="s">
        <v>689</v>
      </c>
      <c r="D166" s="33"/>
      <c r="E166" s="19" t="s">
        <v>690</v>
      </c>
      <c r="F166" s="10"/>
      <c r="G166" s="20" t="s">
        <v>691</v>
      </c>
      <c r="H166" s="14"/>
      <c r="I166" s="10"/>
      <c r="J166" s="14" t="s">
        <v>871</v>
      </c>
      <c r="K166" s="33"/>
      <c r="L166" s="166"/>
    </row>
    <row r="167" spans="1:12" s="4" customFormat="1" ht="53.25" customHeight="1" x14ac:dyDescent="0.15">
      <c r="A167" s="16" t="s">
        <v>943</v>
      </c>
      <c r="B167" s="20" t="s">
        <v>692</v>
      </c>
      <c r="C167" s="56" t="s">
        <v>693</v>
      </c>
      <c r="D167" s="33"/>
      <c r="E167" s="19" t="s">
        <v>413</v>
      </c>
      <c r="F167" s="10"/>
      <c r="G167" s="20" t="s">
        <v>694</v>
      </c>
      <c r="H167" s="14"/>
      <c r="I167" s="10"/>
      <c r="J167" s="14" t="s">
        <v>871</v>
      </c>
      <c r="K167" s="33"/>
      <c r="L167" s="166"/>
    </row>
    <row r="168" spans="1:12" s="4" customFormat="1" ht="51" x14ac:dyDescent="0.15">
      <c r="A168" s="16" t="s">
        <v>944</v>
      </c>
      <c r="B168" s="23" t="s">
        <v>695</v>
      </c>
      <c r="C168" s="56"/>
      <c r="D168" s="56" t="s">
        <v>696</v>
      </c>
      <c r="E168" s="19" t="s">
        <v>697</v>
      </c>
      <c r="F168" s="10"/>
      <c r="G168" s="20" t="s">
        <v>698</v>
      </c>
      <c r="H168" s="14"/>
      <c r="I168" s="10"/>
      <c r="J168" s="14" t="s">
        <v>871</v>
      </c>
      <c r="K168" s="33"/>
      <c r="L168" s="166"/>
    </row>
    <row r="169" spans="1:12" s="4" customFormat="1" ht="68" x14ac:dyDescent="0.15">
      <c r="A169" s="16" t="s">
        <v>945</v>
      </c>
      <c r="B169" s="20" t="s">
        <v>699</v>
      </c>
      <c r="C169" s="56" t="s">
        <v>700</v>
      </c>
      <c r="D169" s="33"/>
      <c r="E169" s="19" t="s">
        <v>701</v>
      </c>
      <c r="F169" s="10"/>
      <c r="G169" s="20" t="s">
        <v>702</v>
      </c>
      <c r="H169" s="14"/>
      <c r="I169" s="10"/>
      <c r="J169" s="14" t="s">
        <v>871</v>
      </c>
      <c r="K169" s="33"/>
      <c r="L169" s="166"/>
    </row>
    <row r="170" spans="1:12" s="4" customFormat="1" ht="51" x14ac:dyDescent="0.15">
      <c r="A170" s="16" t="s">
        <v>946</v>
      </c>
      <c r="B170" s="20" t="s">
        <v>703</v>
      </c>
      <c r="C170" s="56" t="s">
        <v>704</v>
      </c>
      <c r="D170" s="33"/>
      <c r="E170" s="19" t="s">
        <v>705</v>
      </c>
      <c r="F170" s="10"/>
      <c r="G170" s="10"/>
      <c r="H170" s="20" t="s">
        <v>706</v>
      </c>
      <c r="I170" s="10"/>
      <c r="J170" s="14" t="s">
        <v>871</v>
      </c>
      <c r="K170" s="33"/>
      <c r="L170" s="166"/>
    </row>
    <row r="171" spans="1:12" s="4" customFormat="1" ht="51" x14ac:dyDescent="0.15">
      <c r="A171" s="16" t="s">
        <v>947</v>
      </c>
      <c r="B171" s="20" t="s">
        <v>707</v>
      </c>
      <c r="C171" s="56" t="s">
        <v>708</v>
      </c>
      <c r="D171" s="33"/>
      <c r="E171" s="19" t="s">
        <v>709</v>
      </c>
      <c r="F171" s="10"/>
      <c r="G171" s="19" t="s">
        <v>710</v>
      </c>
      <c r="H171" s="14"/>
      <c r="I171" s="10"/>
      <c r="J171" s="14" t="s">
        <v>871</v>
      </c>
      <c r="K171" s="33"/>
      <c r="L171" s="166"/>
    </row>
    <row r="172" spans="1:12" s="4" customFormat="1" ht="51" x14ac:dyDescent="0.15">
      <c r="A172" s="16" t="s">
        <v>948</v>
      </c>
      <c r="B172" s="20" t="s">
        <v>711</v>
      </c>
      <c r="C172" s="47"/>
      <c r="D172" s="47">
        <v>33250</v>
      </c>
      <c r="E172" s="19" t="s">
        <v>712</v>
      </c>
      <c r="F172" s="14"/>
      <c r="G172" s="20" t="s">
        <v>392</v>
      </c>
      <c r="H172" s="14"/>
      <c r="I172" s="10"/>
      <c r="J172" s="14" t="s">
        <v>871</v>
      </c>
      <c r="K172" s="33"/>
      <c r="L172" s="166"/>
    </row>
    <row r="173" spans="1:12" s="4" customFormat="1" ht="34" x14ac:dyDescent="0.15">
      <c r="A173" s="16" t="s">
        <v>949</v>
      </c>
      <c r="B173" s="20" t="s">
        <v>713</v>
      </c>
      <c r="C173" s="47"/>
      <c r="D173" s="24" t="s">
        <v>714</v>
      </c>
      <c r="E173" s="19"/>
      <c r="F173" s="14"/>
      <c r="G173" s="20" t="s">
        <v>87</v>
      </c>
      <c r="H173" s="14"/>
      <c r="I173" s="10"/>
      <c r="J173" s="14" t="s">
        <v>871</v>
      </c>
      <c r="K173" s="33"/>
      <c r="L173" s="166"/>
    </row>
    <row r="174" spans="1:12" s="4" customFormat="1" ht="34" x14ac:dyDescent="0.15">
      <c r="A174" s="16" t="s">
        <v>950</v>
      </c>
      <c r="B174" s="14" t="s">
        <v>681</v>
      </c>
      <c r="C174" s="32" t="s">
        <v>777</v>
      </c>
      <c r="D174" s="9"/>
      <c r="E174" s="20" t="s">
        <v>778</v>
      </c>
      <c r="F174" s="19" t="s">
        <v>228</v>
      </c>
      <c r="G174" s="20" t="s">
        <v>87</v>
      </c>
      <c r="H174" s="14"/>
      <c r="I174" s="10"/>
      <c r="J174" s="14" t="s">
        <v>871</v>
      </c>
      <c r="K174" s="33"/>
      <c r="L174" s="166"/>
    </row>
    <row r="175" spans="1:12" s="4" customFormat="1" ht="16" x14ac:dyDescent="0.15">
      <c r="A175" s="12">
        <v>2</v>
      </c>
      <c r="B175" s="134" t="s">
        <v>1369</v>
      </c>
      <c r="C175" s="134"/>
      <c r="D175" s="134"/>
      <c r="E175" s="134"/>
      <c r="F175" s="134"/>
      <c r="G175" s="134"/>
      <c r="H175" s="134"/>
      <c r="I175" s="134"/>
      <c r="J175" s="134"/>
      <c r="K175" s="134"/>
      <c r="L175" s="166"/>
    </row>
    <row r="176" spans="1:12" s="4" customFormat="1" ht="51" x14ac:dyDescent="0.15">
      <c r="A176" s="13" t="s">
        <v>716</v>
      </c>
      <c r="B176" s="14" t="s">
        <v>717</v>
      </c>
      <c r="C176" s="32" t="s">
        <v>718</v>
      </c>
      <c r="D176" s="32"/>
      <c r="E176" s="20" t="s">
        <v>719</v>
      </c>
      <c r="F176" s="20" t="s">
        <v>720</v>
      </c>
      <c r="G176" s="20" t="s">
        <v>721</v>
      </c>
      <c r="H176" s="14"/>
      <c r="I176" s="10"/>
      <c r="J176" s="38" t="s">
        <v>870</v>
      </c>
      <c r="K176" s="33"/>
      <c r="L176" s="166"/>
    </row>
    <row r="177" spans="1:12" s="4" customFormat="1" ht="51" x14ac:dyDescent="0.15">
      <c r="A177" s="13" t="s">
        <v>722</v>
      </c>
      <c r="B177" s="14" t="s">
        <v>723</v>
      </c>
      <c r="C177" s="16" t="s">
        <v>724</v>
      </c>
      <c r="D177" s="9"/>
      <c r="E177" s="20" t="s">
        <v>725</v>
      </c>
      <c r="F177" s="20" t="s">
        <v>726</v>
      </c>
      <c r="G177" s="20" t="s">
        <v>727</v>
      </c>
      <c r="H177" s="14"/>
      <c r="I177" s="10"/>
      <c r="J177" s="46" t="s">
        <v>872</v>
      </c>
      <c r="K177" s="33"/>
      <c r="L177" s="166"/>
    </row>
    <row r="178" spans="1:12" s="4" customFormat="1" ht="68" x14ac:dyDescent="0.15">
      <c r="A178" s="13" t="s">
        <v>728</v>
      </c>
      <c r="B178" s="21" t="s">
        <v>729</v>
      </c>
      <c r="C178" s="16" t="s">
        <v>730</v>
      </c>
      <c r="D178" s="9"/>
      <c r="E178" s="20" t="s">
        <v>565</v>
      </c>
      <c r="F178" s="20" t="s">
        <v>731</v>
      </c>
      <c r="G178" s="20" t="s">
        <v>732</v>
      </c>
      <c r="H178" s="14"/>
      <c r="I178" s="10"/>
      <c r="J178" s="46" t="s">
        <v>872</v>
      </c>
      <c r="K178" s="33"/>
      <c r="L178" s="166"/>
    </row>
    <row r="179" spans="1:12" s="4" customFormat="1" ht="68" x14ac:dyDescent="0.15">
      <c r="A179" s="13" t="s">
        <v>733</v>
      </c>
      <c r="B179" s="21" t="s">
        <v>734</v>
      </c>
      <c r="C179" s="15" t="s">
        <v>735</v>
      </c>
      <c r="D179" s="9"/>
      <c r="E179" s="38" t="s">
        <v>736</v>
      </c>
      <c r="F179" s="14"/>
      <c r="G179" s="20" t="s">
        <v>737</v>
      </c>
      <c r="H179" s="14"/>
      <c r="I179" s="10"/>
      <c r="J179" s="14" t="s">
        <v>879</v>
      </c>
      <c r="K179" s="33"/>
      <c r="L179" s="166"/>
    </row>
    <row r="180" spans="1:12" s="4" customFormat="1" ht="68" x14ac:dyDescent="0.15">
      <c r="A180" s="13" t="s">
        <v>738</v>
      </c>
      <c r="B180" s="21" t="s">
        <v>739</v>
      </c>
      <c r="C180" s="15" t="s">
        <v>740</v>
      </c>
      <c r="D180" s="9"/>
      <c r="E180" s="38" t="s">
        <v>741</v>
      </c>
      <c r="F180" s="14"/>
      <c r="G180" s="20" t="s">
        <v>737</v>
      </c>
      <c r="H180" s="14"/>
      <c r="I180" s="10"/>
      <c r="J180" s="14" t="s">
        <v>871</v>
      </c>
      <c r="K180" s="33"/>
      <c r="L180" s="166"/>
    </row>
    <row r="181" spans="1:12" s="4" customFormat="1" ht="85" x14ac:dyDescent="0.15">
      <c r="A181" s="13" t="s">
        <v>742</v>
      </c>
      <c r="B181" s="21" t="s">
        <v>743</v>
      </c>
      <c r="C181" s="15" t="s">
        <v>744</v>
      </c>
      <c r="D181" s="9"/>
      <c r="E181" s="38" t="s">
        <v>745</v>
      </c>
      <c r="F181" s="14"/>
      <c r="G181" s="20"/>
      <c r="H181" s="20" t="s">
        <v>737</v>
      </c>
      <c r="I181" s="10"/>
      <c r="J181" s="14" t="s">
        <v>871</v>
      </c>
      <c r="K181" s="33"/>
      <c r="L181" s="166"/>
    </row>
    <row r="182" spans="1:12" s="4" customFormat="1" ht="85" x14ac:dyDescent="0.15">
      <c r="A182" s="13" t="s">
        <v>746</v>
      </c>
      <c r="B182" s="21" t="s">
        <v>747</v>
      </c>
      <c r="C182" s="15" t="s">
        <v>748</v>
      </c>
      <c r="D182" s="9"/>
      <c r="E182" s="38" t="s">
        <v>749</v>
      </c>
      <c r="F182" s="14"/>
      <c r="G182" s="20" t="s">
        <v>750</v>
      </c>
      <c r="H182" s="20" t="s">
        <v>737</v>
      </c>
      <c r="I182" s="10"/>
      <c r="J182" s="14" t="s">
        <v>871</v>
      </c>
      <c r="K182" s="33"/>
      <c r="L182" s="166"/>
    </row>
    <row r="183" spans="1:12" s="4" customFormat="1" ht="68" x14ac:dyDescent="0.15">
      <c r="A183" s="13" t="s">
        <v>751</v>
      </c>
      <c r="B183" s="21" t="s">
        <v>752</v>
      </c>
      <c r="C183" s="15" t="s">
        <v>753</v>
      </c>
      <c r="D183" s="9"/>
      <c r="E183" s="38" t="s">
        <v>754</v>
      </c>
      <c r="F183" s="14"/>
      <c r="G183" s="20" t="s">
        <v>755</v>
      </c>
      <c r="H183" s="14"/>
      <c r="I183" s="10"/>
      <c r="J183" s="14" t="s">
        <v>871</v>
      </c>
      <c r="K183" s="33"/>
      <c r="L183" s="166"/>
    </row>
    <row r="184" spans="1:12" s="4" customFormat="1" ht="51" x14ac:dyDescent="0.15">
      <c r="A184" s="13" t="s">
        <v>756</v>
      </c>
      <c r="B184" s="14" t="s">
        <v>757</v>
      </c>
      <c r="C184" s="40" t="s">
        <v>758</v>
      </c>
      <c r="D184" s="9"/>
      <c r="E184" s="20" t="s">
        <v>759</v>
      </c>
      <c r="F184" s="44"/>
      <c r="G184" s="20" t="s">
        <v>87</v>
      </c>
      <c r="H184" s="14"/>
      <c r="I184" s="10"/>
      <c r="J184" s="14" t="s">
        <v>880</v>
      </c>
      <c r="K184" s="33"/>
      <c r="L184" s="166"/>
    </row>
    <row r="185" spans="1:12" s="4" customFormat="1" ht="51" x14ac:dyDescent="0.15">
      <c r="A185" s="13" t="s">
        <v>760</v>
      </c>
      <c r="B185" s="14" t="s">
        <v>761</v>
      </c>
      <c r="C185" s="42" t="s">
        <v>762</v>
      </c>
      <c r="D185" s="9"/>
      <c r="E185" s="20" t="s">
        <v>763</v>
      </c>
      <c r="F185" s="20"/>
      <c r="G185" s="20" t="s">
        <v>622</v>
      </c>
      <c r="H185" s="14"/>
      <c r="I185" s="10"/>
      <c r="J185" s="14" t="s">
        <v>871</v>
      </c>
      <c r="K185" s="33"/>
      <c r="L185" s="166"/>
    </row>
    <row r="186" spans="1:12" s="4" customFormat="1" ht="120" customHeight="1" x14ac:dyDescent="0.15">
      <c r="A186" s="13" t="s">
        <v>764</v>
      </c>
      <c r="B186" s="14" t="s">
        <v>765</v>
      </c>
      <c r="C186" s="40" t="s">
        <v>766</v>
      </c>
      <c r="D186" s="9"/>
      <c r="E186" s="20" t="s">
        <v>767</v>
      </c>
      <c r="F186" s="10"/>
      <c r="G186" s="20" t="s">
        <v>622</v>
      </c>
      <c r="H186" s="14"/>
      <c r="I186" s="10"/>
      <c r="J186" s="14" t="s">
        <v>871</v>
      </c>
      <c r="K186" s="33"/>
      <c r="L186" s="166"/>
    </row>
    <row r="187" spans="1:12" s="4" customFormat="1" ht="51" x14ac:dyDescent="0.15">
      <c r="A187" s="13" t="s">
        <v>768</v>
      </c>
      <c r="B187" s="14" t="s">
        <v>769</v>
      </c>
      <c r="C187" s="40"/>
      <c r="D187" s="40" t="s">
        <v>770</v>
      </c>
      <c r="E187" s="20" t="s">
        <v>771</v>
      </c>
      <c r="F187" s="10"/>
      <c r="G187" s="20" t="s">
        <v>77</v>
      </c>
      <c r="H187" s="14"/>
      <c r="I187" s="10"/>
      <c r="J187" s="14" t="s">
        <v>871</v>
      </c>
      <c r="K187" s="33"/>
      <c r="L187" s="166"/>
    </row>
    <row r="188" spans="1:12" s="4" customFormat="1" ht="51" x14ac:dyDescent="0.15">
      <c r="A188" s="13" t="s">
        <v>772</v>
      </c>
      <c r="B188" s="14" t="s">
        <v>773</v>
      </c>
      <c r="C188" s="40"/>
      <c r="D188" s="40" t="s">
        <v>774</v>
      </c>
      <c r="E188" s="20" t="s">
        <v>413</v>
      </c>
      <c r="F188" s="10"/>
      <c r="G188" s="20" t="s">
        <v>775</v>
      </c>
      <c r="H188" s="14"/>
      <c r="I188" s="10"/>
      <c r="J188" s="14" t="s">
        <v>871</v>
      </c>
      <c r="K188" s="33"/>
      <c r="L188" s="166"/>
    </row>
    <row r="189" spans="1:12" s="4" customFormat="1" ht="51" x14ac:dyDescent="0.15">
      <c r="A189" s="13" t="s">
        <v>776</v>
      </c>
      <c r="B189" s="14" t="s">
        <v>780</v>
      </c>
      <c r="C189" s="32" t="s">
        <v>781</v>
      </c>
      <c r="D189" s="9"/>
      <c r="E189" s="20" t="s">
        <v>542</v>
      </c>
      <c r="F189" s="19" t="s">
        <v>782</v>
      </c>
      <c r="G189" s="20" t="s">
        <v>783</v>
      </c>
      <c r="H189" s="14"/>
      <c r="I189" s="10"/>
      <c r="J189" s="14" t="s">
        <v>871</v>
      </c>
      <c r="K189" s="33"/>
      <c r="L189" s="166"/>
    </row>
    <row r="190" spans="1:12" s="4" customFormat="1" ht="45.75" customHeight="1" x14ac:dyDescent="0.15">
      <c r="A190" s="13" t="s">
        <v>779</v>
      </c>
      <c r="B190" s="14" t="s">
        <v>785</v>
      </c>
      <c r="C190" s="32"/>
      <c r="D190" s="32" t="s">
        <v>786</v>
      </c>
      <c r="E190" s="20" t="s">
        <v>491</v>
      </c>
      <c r="F190" s="14"/>
      <c r="G190" s="20" t="s">
        <v>77</v>
      </c>
      <c r="H190" s="20" t="s">
        <v>77</v>
      </c>
      <c r="I190" s="10"/>
      <c r="J190" s="14" t="s">
        <v>871</v>
      </c>
      <c r="K190" s="33"/>
      <c r="L190" s="166"/>
    </row>
    <row r="191" spans="1:12" s="4" customFormat="1" ht="16" x14ac:dyDescent="0.15">
      <c r="A191" s="58" t="s">
        <v>790</v>
      </c>
      <c r="B191" s="136" t="s">
        <v>791</v>
      </c>
      <c r="C191" s="136"/>
      <c r="D191" s="136"/>
      <c r="E191" s="136"/>
      <c r="F191" s="136"/>
      <c r="G191" s="136"/>
      <c r="H191" s="136"/>
      <c r="I191" s="136"/>
      <c r="J191" s="136"/>
      <c r="K191" s="136"/>
      <c r="L191" s="166"/>
    </row>
    <row r="192" spans="1:12" s="4" customFormat="1" ht="16" x14ac:dyDescent="0.15">
      <c r="A192" s="12">
        <v>1</v>
      </c>
      <c r="B192" s="135" t="s">
        <v>955</v>
      </c>
      <c r="C192" s="135"/>
      <c r="D192" s="135"/>
      <c r="E192" s="135"/>
      <c r="F192" s="135"/>
      <c r="G192" s="135"/>
      <c r="H192" s="135"/>
      <c r="I192" s="135"/>
      <c r="J192" s="135"/>
      <c r="K192" s="135"/>
      <c r="L192" s="166"/>
    </row>
    <row r="193" spans="1:12" s="4" customFormat="1" ht="51" x14ac:dyDescent="0.15">
      <c r="A193" s="13" t="s">
        <v>16</v>
      </c>
      <c r="B193" s="26" t="s">
        <v>792</v>
      </c>
      <c r="C193" s="55" t="s">
        <v>793</v>
      </c>
      <c r="D193" s="33"/>
      <c r="E193" s="20" t="s">
        <v>794</v>
      </c>
      <c r="F193" s="14"/>
      <c r="G193" s="14"/>
      <c r="H193" s="17"/>
      <c r="I193" s="20" t="s">
        <v>795</v>
      </c>
      <c r="J193" s="14" t="s">
        <v>795</v>
      </c>
      <c r="K193" s="33"/>
      <c r="L193" s="166"/>
    </row>
    <row r="194" spans="1:12" s="4" customFormat="1" ht="68" x14ac:dyDescent="0.15">
      <c r="A194" s="13" t="s">
        <v>50</v>
      </c>
      <c r="B194" s="26" t="s">
        <v>796</v>
      </c>
      <c r="C194" s="59" t="s">
        <v>797</v>
      </c>
      <c r="D194" s="33"/>
      <c r="E194" s="20" t="s">
        <v>798</v>
      </c>
      <c r="F194" s="14"/>
      <c r="G194" s="14"/>
      <c r="H194" s="17"/>
      <c r="I194" s="20" t="s">
        <v>795</v>
      </c>
      <c r="J194" s="14" t="s">
        <v>795</v>
      </c>
      <c r="K194" s="33"/>
      <c r="L194" s="166"/>
    </row>
    <row r="195" spans="1:12" s="4" customFormat="1" ht="34" x14ac:dyDescent="0.15">
      <c r="A195" s="13" t="s">
        <v>113</v>
      </c>
      <c r="B195" s="60" t="s">
        <v>799</v>
      </c>
      <c r="C195" s="61" t="s">
        <v>800</v>
      </c>
      <c r="D195" s="33"/>
      <c r="E195" s="20" t="s">
        <v>542</v>
      </c>
      <c r="F195" s="14"/>
      <c r="G195" s="20" t="s">
        <v>77</v>
      </c>
      <c r="H195" s="17"/>
      <c r="I195" s="10"/>
      <c r="J195" s="14" t="s">
        <v>795</v>
      </c>
      <c r="K195" s="33"/>
      <c r="L195" s="166"/>
    </row>
    <row r="196" spans="1:12" s="4" customFormat="1" ht="85" x14ac:dyDescent="0.15">
      <c r="A196" s="13" t="s">
        <v>155</v>
      </c>
      <c r="B196" s="62" t="s">
        <v>801</v>
      </c>
      <c r="C196" s="63"/>
      <c r="D196" s="63" t="s">
        <v>802</v>
      </c>
      <c r="E196" s="20" t="s">
        <v>803</v>
      </c>
      <c r="F196" s="14"/>
      <c r="G196" s="20" t="s">
        <v>804</v>
      </c>
      <c r="H196" s="17"/>
      <c r="I196" s="10"/>
      <c r="J196" s="14" t="s">
        <v>881</v>
      </c>
      <c r="K196" s="33"/>
      <c r="L196" s="166"/>
    </row>
    <row r="197" spans="1:12" s="4" customFormat="1" ht="68" x14ac:dyDescent="0.15">
      <c r="A197" s="13" t="s">
        <v>212</v>
      </c>
      <c r="B197" s="62" t="s">
        <v>561</v>
      </c>
      <c r="C197" s="63"/>
      <c r="D197" s="63" t="s">
        <v>805</v>
      </c>
      <c r="E197" s="20" t="s">
        <v>806</v>
      </c>
      <c r="F197" s="14"/>
      <c r="G197" s="20" t="s">
        <v>138</v>
      </c>
      <c r="H197" s="17"/>
      <c r="I197" s="10"/>
      <c r="J197" s="14" t="s">
        <v>881</v>
      </c>
      <c r="K197" s="33"/>
      <c r="L197" s="166"/>
    </row>
    <row r="198" spans="1:12" s="4" customFormat="1" ht="51" x14ac:dyDescent="0.15">
      <c r="A198" s="13" t="s">
        <v>267</v>
      </c>
      <c r="B198" s="60" t="s">
        <v>807</v>
      </c>
      <c r="C198" s="61"/>
      <c r="D198" s="61" t="s">
        <v>808</v>
      </c>
      <c r="E198" s="20" t="s">
        <v>809</v>
      </c>
      <c r="F198" s="14"/>
      <c r="G198" s="20" t="s">
        <v>810</v>
      </c>
      <c r="H198" s="17"/>
      <c r="I198" s="10"/>
      <c r="J198" s="14" t="s">
        <v>881</v>
      </c>
      <c r="K198" s="33"/>
      <c r="L198" s="166"/>
    </row>
    <row r="199" spans="1:12" s="4" customFormat="1" ht="16" x14ac:dyDescent="0.15">
      <c r="A199" s="86">
        <v>2</v>
      </c>
      <c r="B199" s="135" t="s">
        <v>954</v>
      </c>
      <c r="C199" s="135"/>
      <c r="D199" s="135"/>
      <c r="E199" s="135"/>
      <c r="F199" s="135"/>
      <c r="G199" s="135"/>
      <c r="H199" s="135"/>
      <c r="I199" s="135"/>
      <c r="J199" s="135"/>
      <c r="K199" s="135"/>
      <c r="L199" s="166"/>
    </row>
    <row r="200" spans="1:12" s="4" customFormat="1" ht="85" x14ac:dyDescent="0.15">
      <c r="A200" s="13" t="s">
        <v>394</v>
      </c>
      <c r="B200" s="36" t="s">
        <v>843</v>
      </c>
      <c r="C200" s="36"/>
      <c r="D200" s="36" t="s">
        <v>844</v>
      </c>
      <c r="E200" s="20" t="s">
        <v>845</v>
      </c>
      <c r="F200" s="14"/>
      <c r="G200" s="20" t="s">
        <v>87</v>
      </c>
      <c r="H200" s="14"/>
      <c r="I200" s="10"/>
      <c r="J200" s="46" t="s">
        <v>883</v>
      </c>
      <c r="K200" s="21"/>
      <c r="L200" s="166"/>
    </row>
    <row r="201" spans="1:12" s="4" customFormat="1" ht="16" x14ac:dyDescent="0.15">
      <c r="A201" s="12">
        <v>3</v>
      </c>
      <c r="B201" s="134" t="s">
        <v>909</v>
      </c>
      <c r="C201" s="134"/>
      <c r="D201" s="134"/>
      <c r="E201" s="134"/>
      <c r="F201" s="134"/>
      <c r="G201" s="134"/>
      <c r="H201" s="134"/>
      <c r="I201" s="134"/>
      <c r="J201" s="134"/>
      <c r="K201" s="134"/>
      <c r="L201" s="166"/>
    </row>
    <row r="202" spans="1:12" s="4" customFormat="1" ht="57.75" customHeight="1" x14ac:dyDescent="0.15">
      <c r="A202" s="13" t="s">
        <v>716</v>
      </c>
      <c r="B202" s="64" t="s">
        <v>811</v>
      </c>
      <c r="C202" s="65" t="s">
        <v>812</v>
      </c>
      <c r="D202" s="33"/>
      <c r="E202" s="14" t="s">
        <v>813</v>
      </c>
      <c r="F202" s="14"/>
      <c r="G202" s="14" t="s">
        <v>388</v>
      </c>
      <c r="H202" s="17"/>
      <c r="I202" s="10"/>
      <c r="J202" s="14" t="s">
        <v>882</v>
      </c>
      <c r="K202" s="20"/>
      <c r="L202" s="166"/>
    </row>
    <row r="203" spans="1:12" s="4" customFormat="1" ht="66" customHeight="1" x14ac:dyDescent="0.15">
      <c r="A203" s="13" t="s">
        <v>722</v>
      </c>
      <c r="B203" s="64" t="s">
        <v>814</v>
      </c>
      <c r="C203" s="65" t="s">
        <v>815</v>
      </c>
      <c r="D203" s="9"/>
      <c r="E203" s="14" t="s">
        <v>816</v>
      </c>
      <c r="F203" s="14"/>
      <c r="G203" s="14"/>
      <c r="H203" s="17"/>
      <c r="I203" s="10"/>
      <c r="J203" s="14" t="s">
        <v>882</v>
      </c>
      <c r="K203" s="20"/>
      <c r="L203" s="166"/>
    </row>
    <row r="204" spans="1:12" s="4" customFormat="1" ht="34" x14ac:dyDescent="0.15">
      <c r="A204" s="13" t="s">
        <v>728</v>
      </c>
      <c r="B204" s="64" t="s">
        <v>817</v>
      </c>
      <c r="C204" s="66" t="s">
        <v>818</v>
      </c>
      <c r="D204" s="9"/>
      <c r="E204" s="14" t="s">
        <v>819</v>
      </c>
      <c r="F204" s="14"/>
      <c r="G204" s="14"/>
      <c r="H204" s="17" t="s">
        <v>820</v>
      </c>
      <c r="I204" s="10"/>
      <c r="J204" s="14" t="s">
        <v>882</v>
      </c>
      <c r="K204" s="20"/>
      <c r="L204" s="166"/>
    </row>
    <row r="205" spans="1:12" s="4" customFormat="1" ht="51" x14ac:dyDescent="0.15">
      <c r="A205" s="13" t="s">
        <v>733</v>
      </c>
      <c r="B205" s="14" t="s">
        <v>821</v>
      </c>
      <c r="C205" s="67"/>
      <c r="D205" s="59" t="s">
        <v>822</v>
      </c>
      <c r="E205" s="20" t="s">
        <v>823</v>
      </c>
      <c r="F205" s="26"/>
      <c r="G205" s="26" t="s">
        <v>77</v>
      </c>
      <c r="H205" s="26"/>
      <c r="I205" s="26"/>
      <c r="J205" s="14" t="s">
        <v>882</v>
      </c>
      <c r="K205" s="20"/>
      <c r="L205" s="166"/>
    </row>
    <row r="206" spans="1:12" ht="34" x14ac:dyDescent="0.15">
      <c r="A206" s="13" t="s">
        <v>738</v>
      </c>
      <c r="B206" s="21" t="s">
        <v>824</v>
      </c>
      <c r="C206" s="68"/>
      <c r="D206" s="69" t="s">
        <v>825</v>
      </c>
      <c r="E206" s="20" t="s">
        <v>826</v>
      </c>
      <c r="F206" s="14"/>
      <c r="G206" s="44" t="s">
        <v>77</v>
      </c>
      <c r="H206" s="14"/>
      <c r="I206" s="14" t="s">
        <v>820</v>
      </c>
      <c r="J206" s="14" t="s">
        <v>882</v>
      </c>
      <c r="K206" s="20"/>
    </row>
    <row r="207" spans="1:12" ht="51" x14ac:dyDescent="0.15">
      <c r="A207" s="13" t="s">
        <v>742</v>
      </c>
      <c r="B207" s="21" t="s">
        <v>827</v>
      </c>
      <c r="C207" s="32"/>
      <c r="D207" s="32" t="s">
        <v>828</v>
      </c>
      <c r="E207" s="20" t="s">
        <v>829</v>
      </c>
      <c r="F207" s="14"/>
      <c r="G207" s="20" t="s">
        <v>77</v>
      </c>
      <c r="H207" s="14"/>
      <c r="I207" s="10"/>
      <c r="J207" s="14" t="s">
        <v>882</v>
      </c>
      <c r="K207" s="20"/>
    </row>
    <row r="208" spans="1:12" ht="51" x14ac:dyDescent="0.15">
      <c r="A208" s="13" t="s">
        <v>746</v>
      </c>
      <c r="B208" s="21" t="s">
        <v>830</v>
      </c>
      <c r="C208" s="68" t="s">
        <v>831</v>
      </c>
      <c r="D208" s="71"/>
      <c r="E208" s="20" t="s">
        <v>832</v>
      </c>
      <c r="F208" s="14"/>
      <c r="G208" s="44" t="s">
        <v>77</v>
      </c>
      <c r="H208" s="14"/>
      <c r="I208" s="14" t="s">
        <v>833</v>
      </c>
      <c r="J208" s="14" t="s">
        <v>882</v>
      </c>
      <c r="K208" s="20"/>
    </row>
    <row r="209" spans="1:11" ht="51" x14ac:dyDescent="0.15">
      <c r="A209" s="13" t="s">
        <v>751</v>
      </c>
      <c r="B209" s="14" t="s">
        <v>836</v>
      </c>
      <c r="C209" s="32"/>
      <c r="D209" s="32" t="s">
        <v>837</v>
      </c>
      <c r="E209" s="20" t="s">
        <v>838</v>
      </c>
      <c r="F209" s="14"/>
      <c r="G209" s="20" t="s">
        <v>839</v>
      </c>
      <c r="H209" s="14"/>
      <c r="I209" s="10"/>
      <c r="J209" s="14" t="s">
        <v>882</v>
      </c>
      <c r="K209" s="20"/>
    </row>
    <row r="210" spans="1:11" ht="68" x14ac:dyDescent="0.15">
      <c r="A210" s="13" t="s">
        <v>756</v>
      </c>
      <c r="B210" s="14" t="s">
        <v>481</v>
      </c>
      <c r="C210" s="32"/>
      <c r="D210" s="32" t="s">
        <v>834</v>
      </c>
      <c r="E210" s="20" t="s">
        <v>592</v>
      </c>
      <c r="F210" s="14"/>
      <c r="G210" s="14"/>
      <c r="H210" s="20" t="s">
        <v>835</v>
      </c>
      <c r="I210" s="14"/>
      <c r="J210" s="14" t="s">
        <v>952</v>
      </c>
      <c r="K210" s="20"/>
    </row>
    <row r="211" spans="1:11" ht="59.25" customHeight="1" x14ac:dyDescent="0.15">
      <c r="A211" s="13" t="s">
        <v>760</v>
      </c>
      <c r="B211" s="21" t="s">
        <v>840</v>
      </c>
      <c r="C211" s="32" t="s">
        <v>841</v>
      </c>
      <c r="D211" s="33"/>
      <c r="E211" s="20" t="s">
        <v>842</v>
      </c>
      <c r="F211" s="14"/>
      <c r="G211" s="20" t="s">
        <v>497</v>
      </c>
      <c r="H211" s="14"/>
      <c r="I211" s="10"/>
      <c r="J211" s="14" t="s">
        <v>952</v>
      </c>
      <c r="K211" s="21"/>
    </row>
    <row r="212" spans="1:11" ht="16" x14ac:dyDescent="0.2">
      <c r="A212" s="87">
        <v>4</v>
      </c>
      <c r="B212" s="140" t="s">
        <v>901</v>
      </c>
      <c r="C212" s="141"/>
      <c r="D212" s="141"/>
      <c r="E212" s="141"/>
      <c r="F212" s="141"/>
      <c r="G212" s="141"/>
      <c r="H212" s="141"/>
      <c r="I212" s="141"/>
      <c r="J212" s="141"/>
      <c r="K212" s="142"/>
    </row>
    <row r="213" spans="1:11" ht="102" x14ac:dyDescent="0.15">
      <c r="A213" s="85" t="s">
        <v>956</v>
      </c>
      <c r="B213" s="77" t="s">
        <v>884</v>
      </c>
      <c r="C213" s="78" t="s">
        <v>885</v>
      </c>
      <c r="D213" s="79"/>
      <c r="E213" s="80" t="s">
        <v>886</v>
      </c>
      <c r="F213" s="76"/>
      <c r="G213" s="76"/>
      <c r="H213" s="76"/>
      <c r="I213" s="76"/>
      <c r="J213" s="81" t="s">
        <v>887</v>
      </c>
      <c r="K213" s="75"/>
    </row>
    <row r="214" spans="1:11" ht="68" x14ac:dyDescent="0.15">
      <c r="A214" s="85" t="s">
        <v>957</v>
      </c>
      <c r="B214" s="60" t="s">
        <v>888</v>
      </c>
      <c r="C214" s="82" t="s">
        <v>889</v>
      </c>
      <c r="D214" s="33"/>
      <c r="E214" s="20" t="s">
        <v>890</v>
      </c>
      <c r="F214" s="76"/>
      <c r="G214" s="76"/>
      <c r="H214" s="76"/>
      <c r="I214" s="76"/>
      <c r="J214" s="83" t="s">
        <v>891</v>
      </c>
      <c r="K214" s="75"/>
    </row>
    <row r="215" spans="1:11" ht="40.5" customHeight="1" x14ac:dyDescent="0.15">
      <c r="A215" s="85" t="s">
        <v>958</v>
      </c>
      <c r="B215" s="77" t="s">
        <v>893</v>
      </c>
      <c r="C215" s="84">
        <v>31706</v>
      </c>
      <c r="D215" s="77"/>
      <c r="E215" s="80" t="s">
        <v>110</v>
      </c>
      <c r="F215" s="76"/>
      <c r="G215" s="76"/>
      <c r="H215" s="76"/>
      <c r="I215" s="76"/>
      <c r="J215" s="83" t="s">
        <v>891</v>
      </c>
      <c r="K215" s="75"/>
    </row>
    <row r="216" spans="1:11" ht="42.75" customHeight="1" x14ac:dyDescent="0.15">
      <c r="A216" s="85" t="s">
        <v>959</v>
      </c>
      <c r="B216" s="77" t="s">
        <v>894</v>
      </c>
      <c r="C216" s="77"/>
      <c r="D216" s="84">
        <v>29911</v>
      </c>
      <c r="E216" s="80" t="s">
        <v>110</v>
      </c>
      <c r="F216" s="76"/>
      <c r="G216" s="76"/>
      <c r="H216" s="76"/>
      <c r="I216" s="76"/>
      <c r="J216" s="81" t="s">
        <v>900</v>
      </c>
      <c r="K216" s="75"/>
    </row>
    <row r="217" spans="1:11" ht="51" x14ac:dyDescent="0.15">
      <c r="A217" s="85" t="s">
        <v>960</v>
      </c>
      <c r="B217" s="77" t="s">
        <v>895</v>
      </c>
      <c r="C217" s="77"/>
      <c r="D217" s="84">
        <v>27353</v>
      </c>
      <c r="E217" s="80" t="s">
        <v>896</v>
      </c>
      <c r="F217" s="76"/>
      <c r="G217" s="76"/>
      <c r="H217" s="76"/>
      <c r="I217" s="76"/>
      <c r="J217" s="81" t="s">
        <v>900</v>
      </c>
      <c r="K217" s="75"/>
    </row>
    <row r="218" spans="1:11" ht="85" x14ac:dyDescent="0.15">
      <c r="A218" s="85" t="s">
        <v>961</v>
      </c>
      <c r="B218" s="80" t="s">
        <v>897</v>
      </c>
      <c r="C218" s="79"/>
      <c r="D218" s="78" t="s">
        <v>898</v>
      </c>
      <c r="E218" s="80" t="s">
        <v>899</v>
      </c>
      <c r="F218" s="76"/>
      <c r="G218" s="76"/>
      <c r="H218" s="76"/>
      <c r="I218" s="76"/>
      <c r="J218" s="81" t="s">
        <v>900</v>
      </c>
      <c r="K218" s="75"/>
    </row>
    <row r="222" spans="1:11" x14ac:dyDescent="0.15">
      <c r="A222" s="137" t="s">
        <v>1355</v>
      </c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</row>
    <row r="223" spans="1:11" x14ac:dyDescent="0.15">
      <c r="A223" s="137" t="s">
        <v>1358</v>
      </c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</row>
    <row r="224" spans="1:11" ht="30" x14ac:dyDescent="0.15">
      <c r="A224" s="99" t="s">
        <v>1323</v>
      </c>
      <c r="B224" s="99" t="s">
        <v>1324</v>
      </c>
      <c r="C224" s="100" t="s">
        <v>1325</v>
      </c>
      <c r="D224" s="98"/>
      <c r="E224" s="98"/>
      <c r="F224" s="98"/>
      <c r="G224" s="98"/>
      <c r="H224" s="98"/>
      <c r="I224" s="98"/>
      <c r="J224" s="70"/>
    </row>
    <row r="225" spans="1:10" x14ac:dyDescent="0.15">
      <c r="A225" s="99" t="s">
        <v>1326</v>
      </c>
      <c r="B225" s="99" t="s">
        <v>1327</v>
      </c>
      <c r="C225" s="88">
        <f>SUM(C226+C236+C237)</f>
        <v>186</v>
      </c>
      <c r="D225" s="98"/>
      <c r="E225" s="98"/>
      <c r="F225" s="98"/>
      <c r="G225" s="98"/>
      <c r="H225" s="98"/>
      <c r="I225" s="98"/>
      <c r="J225" s="70"/>
    </row>
    <row r="226" spans="1:10" x14ac:dyDescent="0.15">
      <c r="A226" s="138" t="s">
        <v>1353</v>
      </c>
      <c r="B226" s="139"/>
      <c r="C226" s="88">
        <f>SUM(C227+C228+C236)</f>
        <v>89</v>
      </c>
      <c r="D226" s="98"/>
      <c r="E226" s="98"/>
      <c r="F226" s="98"/>
      <c r="G226" s="98"/>
      <c r="H226" s="98"/>
      <c r="I226" s="98"/>
      <c r="J226" s="70"/>
    </row>
    <row r="227" spans="1:10" x14ac:dyDescent="0.15">
      <c r="A227" s="101" t="s">
        <v>13</v>
      </c>
      <c r="B227" s="99" t="s">
        <v>1350</v>
      </c>
      <c r="C227" s="88">
        <v>6</v>
      </c>
      <c r="D227" s="98"/>
      <c r="E227" s="98"/>
      <c r="F227" s="98"/>
      <c r="G227" s="98"/>
      <c r="H227" s="98"/>
      <c r="I227" s="98"/>
      <c r="J227" s="70"/>
    </row>
    <row r="228" spans="1:10" x14ac:dyDescent="0.15">
      <c r="A228" s="101" t="s">
        <v>474</v>
      </c>
      <c r="B228" s="99" t="s">
        <v>1328</v>
      </c>
      <c r="C228" s="88">
        <f>SUM(C229:C235)</f>
        <v>66</v>
      </c>
      <c r="D228" s="98"/>
      <c r="E228" s="98"/>
      <c r="F228" s="98"/>
      <c r="G228" s="98"/>
      <c r="H228" s="98"/>
      <c r="I228" s="98"/>
      <c r="J228" s="70"/>
    </row>
    <row r="229" spans="1:10" x14ac:dyDescent="0.15">
      <c r="A229" s="102">
        <v>2</v>
      </c>
      <c r="B229" s="76" t="s">
        <v>1329</v>
      </c>
      <c r="C229" s="102">
        <v>14</v>
      </c>
      <c r="D229" s="98"/>
      <c r="E229" s="98"/>
      <c r="F229" s="98"/>
      <c r="G229" s="98"/>
      <c r="H229" s="98"/>
      <c r="I229" s="98"/>
      <c r="J229" s="70"/>
    </row>
    <row r="230" spans="1:10" x14ac:dyDescent="0.15">
      <c r="A230" s="102">
        <v>3</v>
      </c>
      <c r="B230" s="70" t="s">
        <v>1330</v>
      </c>
      <c r="C230" s="102">
        <v>9</v>
      </c>
      <c r="D230" s="98"/>
      <c r="E230" s="98"/>
      <c r="F230" s="98"/>
      <c r="G230" s="98"/>
      <c r="H230" s="98"/>
      <c r="I230" s="98"/>
      <c r="J230" s="70"/>
    </row>
    <row r="231" spans="1:10" x14ac:dyDescent="0.15">
      <c r="A231" s="102">
        <v>4</v>
      </c>
      <c r="B231" s="76" t="s">
        <v>1331</v>
      </c>
      <c r="C231" s="102">
        <v>10</v>
      </c>
      <c r="D231" s="98"/>
      <c r="E231" s="98"/>
      <c r="F231" s="98"/>
      <c r="G231" s="98"/>
      <c r="H231" s="98"/>
      <c r="I231" s="98"/>
      <c r="J231" s="70"/>
    </row>
    <row r="232" spans="1:10" ht="30" x14ac:dyDescent="0.15">
      <c r="A232" s="102">
        <v>5</v>
      </c>
      <c r="B232" s="103" t="s">
        <v>1332</v>
      </c>
      <c r="C232" s="102">
        <v>10</v>
      </c>
      <c r="D232" s="98"/>
      <c r="E232" s="98"/>
      <c r="F232" s="98"/>
      <c r="G232" s="98"/>
      <c r="H232" s="98"/>
      <c r="I232" s="98"/>
      <c r="J232" s="70"/>
    </row>
    <row r="233" spans="1:10" ht="15" x14ac:dyDescent="0.15">
      <c r="A233" s="102">
        <v>6</v>
      </c>
      <c r="B233" s="103" t="s">
        <v>1333</v>
      </c>
      <c r="C233" s="102">
        <v>12</v>
      </c>
      <c r="D233" s="98"/>
      <c r="E233" s="98"/>
      <c r="F233" s="98"/>
      <c r="G233" s="98"/>
      <c r="H233" s="98"/>
      <c r="I233" s="98"/>
      <c r="J233" s="70"/>
    </row>
    <row r="234" spans="1:10" ht="30" x14ac:dyDescent="0.15">
      <c r="A234" s="102">
        <v>7</v>
      </c>
      <c r="B234" s="103" t="s">
        <v>1334</v>
      </c>
      <c r="C234" s="102">
        <v>5</v>
      </c>
      <c r="D234" s="98"/>
      <c r="E234" s="98"/>
      <c r="F234" s="98"/>
      <c r="G234" s="98"/>
      <c r="H234" s="98"/>
      <c r="I234" s="98"/>
      <c r="J234" s="70"/>
    </row>
    <row r="235" spans="1:10" x14ac:dyDescent="0.15">
      <c r="A235" s="102">
        <v>8</v>
      </c>
      <c r="B235" s="76" t="s">
        <v>1335</v>
      </c>
      <c r="C235" s="102">
        <v>6</v>
      </c>
      <c r="D235" s="98"/>
      <c r="E235" s="98"/>
      <c r="F235" s="98"/>
      <c r="G235" s="98"/>
      <c r="H235" s="98"/>
      <c r="I235" s="98"/>
      <c r="J235" s="70"/>
    </row>
    <row r="236" spans="1:10" x14ac:dyDescent="0.15">
      <c r="A236" s="101" t="s">
        <v>790</v>
      </c>
      <c r="B236" s="99" t="s">
        <v>1336</v>
      </c>
      <c r="C236" s="101">
        <v>17</v>
      </c>
      <c r="D236" s="98"/>
      <c r="E236" s="98"/>
      <c r="F236" s="98"/>
      <c r="G236" s="98"/>
      <c r="H236" s="98"/>
      <c r="I236" s="98"/>
      <c r="J236" s="70"/>
    </row>
    <row r="237" spans="1:10" x14ac:dyDescent="0.15">
      <c r="A237" s="101" t="s">
        <v>1339</v>
      </c>
      <c r="B237" s="99" t="s">
        <v>1337</v>
      </c>
      <c r="C237" s="101">
        <f>SUM(C238:C239)</f>
        <v>80</v>
      </c>
      <c r="D237" s="98"/>
      <c r="E237" s="98"/>
      <c r="F237" s="98"/>
      <c r="G237" s="98"/>
      <c r="H237" s="98"/>
      <c r="I237" s="98"/>
      <c r="J237" s="70"/>
    </row>
    <row r="238" spans="1:10" ht="60" x14ac:dyDescent="0.15">
      <c r="A238" s="102">
        <v>1</v>
      </c>
      <c r="B238" s="103" t="s">
        <v>1357</v>
      </c>
      <c r="C238" s="102">
        <v>65</v>
      </c>
      <c r="D238" s="98"/>
      <c r="E238" s="98"/>
      <c r="F238" s="98"/>
      <c r="G238" s="98"/>
      <c r="H238" s="98"/>
      <c r="I238" s="98"/>
      <c r="J238" s="70"/>
    </row>
    <row r="239" spans="1:10" ht="30" x14ac:dyDescent="0.15">
      <c r="A239" s="102">
        <v>2</v>
      </c>
      <c r="B239" s="103" t="s">
        <v>1310</v>
      </c>
      <c r="C239" s="102">
        <v>15</v>
      </c>
      <c r="D239" s="98"/>
      <c r="E239" s="98"/>
      <c r="F239" s="98"/>
      <c r="G239" s="98"/>
      <c r="H239" s="98"/>
      <c r="I239" s="98"/>
      <c r="J239" s="70"/>
    </row>
    <row r="240" spans="1:10" ht="15" x14ac:dyDescent="0.15">
      <c r="A240" s="101" t="s">
        <v>1354</v>
      </c>
      <c r="B240" s="100" t="s">
        <v>1340</v>
      </c>
      <c r="C240" s="101">
        <f>SUM(C241:C242)</f>
        <v>17</v>
      </c>
      <c r="D240" s="98"/>
      <c r="E240" s="98"/>
      <c r="F240" s="98"/>
      <c r="G240" s="98"/>
      <c r="H240" s="98"/>
      <c r="I240" s="98"/>
      <c r="J240" s="70"/>
    </row>
    <row r="241" spans="1:10" x14ac:dyDescent="0.15">
      <c r="A241" s="102">
        <v>1</v>
      </c>
      <c r="B241" s="76" t="s">
        <v>1341</v>
      </c>
      <c r="C241" s="102">
        <v>7</v>
      </c>
      <c r="D241" s="98"/>
      <c r="E241" s="98"/>
      <c r="F241" s="98"/>
      <c r="G241" s="98"/>
      <c r="H241" s="98"/>
      <c r="I241" s="98"/>
      <c r="J241" s="70"/>
    </row>
    <row r="242" spans="1:10" ht="30" x14ac:dyDescent="0.15">
      <c r="A242" s="102">
        <v>2</v>
      </c>
      <c r="B242" s="104" t="s">
        <v>1342</v>
      </c>
      <c r="C242" s="102">
        <v>10</v>
      </c>
      <c r="D242" s="73"/>
      <c r="I242" s="70"/>
      <c r="J242" s="70"/>
    </row>
  </sheetData>
  <autoFilter ref="C1:C242" xr:uid="{EA34198A-7367-4C81-8CFB-A90333022204}"/>
  <mergeCells count="29">
    <mergeCell ref="A222:K222"/>
    <mergeCell ref="A223:K223"/>
    <mergeCell ref="A226:B226"/>
    <mergeCell ref="B212:K212"/>
    <mergeCell ref="A1:K1"/>
    <mergeCell ref="A2:K2"/>
    <mergeCell ref="A4:A5"/>
    <mergeCell ref="B4:B5"/>
    <mergeCell ref="C4:D4"/>
    <mergeCell ref="E4:E5"/>
    <mergeCell ref="F4:I4"/>
    <mergeCell ref="K4:K5"/>
    <mergeCell ref="J4:J5"/>
    <mergeCell ref="B108:K108"/>
    <mergeCell ref="B8:K8"/>
    <mergeCell ref="B9:K9"/>
    <mergeCell ref="B16:K16"/>
    <mergeCell ref="B31:K31"/>
    <mergeCell ref="B41:K41"/>
    <mergeCell ref="B52:K52"/>
    <mergeCell ref="B63:K63"/>
    <mergeCell ref="B76:K76"/>
    <mergeCell ref="B82:K82"/>
    <mergeCell ref="B201:K201"/>
    <mergeCell ref="B89:K89"/>
    <mergeCell ref="B175:K175"/>
    <mergeCell ref="B191:K191"/>
    <mergeCell ref="B192:K192"/>
    <mergeCell ref="B199:K199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9745-2A54-7D42-A4E1-621DB073094B}">
  <dimension ref="A1:Q189"/>
  <sheetViews>
    <sheetView tabSelected="1" workbookViewId="0">
      <selection activeCell="M8" sqref="M8"/>
    </sheetView>
  </sheetViews>
  <sheetFormatPr baseColWidth="10" defaultRowHeight="16" x14ac:dyDescent="0.2"/>
  <cols>
    <col min="12" max="12" width="13.5" customWidth="1"/>
    <col min="13" max="13" width="14.5" customWidth="1"/>
  </cols>
  <sheetData>
    <row r="1" spans="1:17" x14ac:dyDescent="0.2">
      <c r="A1" s="145" t="s">
        <v>1</v>
      </c>
      <c r="B1" s="145" t="s">
        <v>2</v>
      </c>
      <c r="C1" s="145" t="s">
        <v>3</v>
      </c>
      <c r="D1" s="145"/>
      <c r="E1" s="145" t="s">
        <v>4</v>
      </c>
      <c r="F1" s="145" t="s">
        <v>5</v>
      </c>
      <c r="G1" s="145"/>
      <c r="H1" s="145"/>
      <c r="I1" s="145"/>
      <c r="J1" s="145" t="s">
        <v>852</v>
      </c>
      <c r="K1" s="145" t="s">
        <v>6</v>
      </c>
      <c r="L1" s="170" t="s">
        <v>1382</v>
      </c>
      <c r="M1" s="170"/>
      <c r="N1" s="170" t="s">
        <v>1385</v>
      </c>
      <c r="O1" s="170"/>
      <c r="P1" s="170" t="s">
        <v>1386</v>
      </c>
      <c r="Q1" s="170"/>
    </row>
    <row r="2" spans="1:17" ht="30" x14ac:dyDescent="0.2">
      <c r="A2" s="145"/>
      <c r="B2" s="145"/>
      <c r="C2" s="5" t="s">
        <v>7</v>
      </c>
      <c r="D2" s="5" t="s">
        <v>8</v>
      </c>
      <c r="E2" s="145"/>
      <c r="F2" s="6" t="s">
        <v>9</v>
      </c>
      <c r="G2" s="6" t="s">
        <v>10</v>
      </c>
      <c r="H2" s="6" t="s">
        <v>11</v>
      </c>
      <c r="I2" s="6" t="s">
        <v>12</v>
      </c>
      <c r="J2" s="145"/>
      <c r="K2" s="145"/>
      <c r="L2" s="170"/>
      <c r="M2" s="170"/>
      <c r="N2" s="170"/>
      <c r="O2" s="170"/>
      <c r="P2" s="170"/>
      <c r="Q2" s="170"/>
    </row>
    <row r="3" spans="1:17" x14ac:dyDescent="0.2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  <c r="K3" s="7">
        <v>11</v>
      </c>
      <c r="L3" s="170"/>
      <c r="M3" s="170"/>
      <c r="N3" s="170"/>
      <c r="O3" s="170"/>
      <c r="P3" s="170"/>
      <c r="Q3" s="170"/>
    </row>
    <row r="4" spans="1:17" ht="34" x14ac:dyDescent="0.2">
      <c r="A4" s="9" t="s">
        <v>13</v>
      </c>
      <c r="B4" s="197" t="s">
        <v>14</v>
      </c>
      <c r="C4" s="198"/>
      <c r="D4" s="198"/>
      <c r="E4" s="198"/>
      <c r="F4" s="198"/>
      <c r="G4" s="198"/>
      <c r="H4" s="198"/>
      <c r="I4" s="198"/>
      <c r="J4" s="198"/>
      <c r="K4" s="199"/>
      <c r="L4" s="81" t="s">
        <v>1383</v>
      </c>
      <c r="M4" s="81" t="s">
        <v>1384</v>
      </c>
      <c r="N4" s="81" t="s">
        <v>1383</v>
      </c>
      <c r="O4" s="81" t="s">
        <v>1384</v>
      </c>
      <c r="P4" s="171" t="s">
        <v>1383</v>
      </c>
      <c r="Q4" s="171" t="s">
        <v>1384</v>
      </c>
    </row>
    <row r="5" spans="1:17" ht="16" customHeight="1" x14ac:dyDescent="0.2">
      <c r="A5" s="9">
        <v>1</v>
      </c>
      <c r="B5" s="197" t="s">
        <v>15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9"/>
    </row>
    <row r="6" spans="1:17" ht="17" customHeight="1" x14ac:dyDescent="0.2">
      <c r="A6" s="9" t="s">
        <v>16</v>
      </c>
      <c r="B6" s="197" t="s">
        <v>846</v>
      </c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9"/>
    </row>
    <row r="7" spans="1:17" ht="136" x14ac:dyDescent="0.2">
      <c r="A7" s="16" t="s">
        <v>17</v>
      </c>
      <c r="B7" s="14" t="s">
        <v>18</v>
      </c>
      <c r="C7" s="15" t="s">
        <v>19</v>
      </c>
      <c r="D7" s="16"/>
      <c r="E7" s="14" t="s">
        <v>20</v>
      </c>
      <c r="F7" s="14" t="s">
        <v>21</v>
      </c>
      <c r="G7" s="14" t="s">
        <v>22</v>
      </c>
      <c r="H7" s="14"/>
      <c r="I7" s="14"/>
      <c r="J7" s="14" t="s">
        <v>853</v>
      </c>
      <c r="K7" s="33"/>
      <c r="L7" s="187"/>
      <c r="M7" s="187"/>
      <c r="N7" s="187"/>
      <c r="O7" s="187"/>
      <c r="P7" s="187"/>
      <c r="Q7" s="187"/>
    </row>
    <row r="8" spans="1:17" ht="153" x14ac:dyDescent="0.2">
      <c r="A8" s="16" t="s">
        <v>23</v>
      </c>
      <c r="B8" s="14" t="s">
        <v>24</v>
      </c>
      <c r="C8" s="15" t="s">
        <v>25</v>
      </c>
      <c r="D8" s="16"/>
      <c r="E8" s="19" t="s">
        <v>26</v>
      </c>
      <c r="F8" s="20" t="s">
        <v>27</v>
      </c>
      <c r="G8" s="19" t="s">
        <v>28</v>
      </c>
      <c r="H8" s="14"/>
      <c r="I8" s="10"/>
      <c r="J8" s="14" t="s">
        <v>854</v>
      </c>
      <c r="K8" s="33"/>
      <c r="L8" s="187"/>
      <c r="M8" s="187"/>
      <c r="N8" s="187"/>
      <c r="O8" s="187"/>
      <c r="P8" s="187"/>
      <c r="Q8" s="187"/>
    </row>
    <row r="9" spans="1:17" ht="180" x14ac:dyDescent="0.2">
      <c r="A9" s="16" t="s">
        <v>29</v>
      </c>
      <c r="B9" s="21" t="s">
        <v>30</v>
      </c>
      <c r="C9" s="16"/>
      <c r="D9" s="15">
        <v>29148</v>
      </c>
      <c r="E9" s="74" t="s">
        <v>31</v>
      </c>
      <c r="F9" s="14"/>
      <c r="G9" s="14" t="s">
        <v>32</v>
      </c>
      <c r="H9" s="14"/>
      <c r="I9" s="10"/>
      <c r="J9" s="14" t="s">
        <v>854</v>
      </c>
      <c r="K9" s="33"/>
      <c r="L9" s="187"/>
      <c r="M9" s="187"/>
      <c r="N9" s="187"/>
      <c r="O9" s="187"/>
      <c r="P9" s="187"/>
      <c r="Q9" s="187"/>
    </row>
    <row r="10" spans="1:17" ht="102" x14ac:dyDescent="0.2">
      <c r="A10" s="55" t="s">
        <v>33</v>
      </c>
      <c r="B10" s="23" t="s">
        <v>34</v>
      </c>
      <c r="C10" s="24" t="s">
        <v>35</v>
      </c>
      <c r="D10" s="188"/>
      <c r="E10" s="20"/>
      <c r="F10" s="20" t="s">
        <v>36</v>
      </c>
      <c r="G10" s="20" t="s">
        <v>37</v>
      </c>
      <c r="H10" s="20"/>
      <c r="I10" s="27"/>
      <c r="J10" s="14" t="s">
        <v>854</v>
      </c>
      <c r="K10" s="28"/>
      <c r="L10" s="187"/>
      <c r="M10" s="187"/>
      <c r="N10" s="187"/>
      <c r="O10" s="187"/>
      <c r="P10" s="187"/>
      <c r="Q10" s="187"/>
    </row>
    <row r="11" spans="1:17" ht="216" x14ac:dyDescent="0.2">
      <c r="A11" s="55" t="s">
        <v>38</v>
      </c>
      <c r="B11" s="23" t="s">
        <v>39</v>
      </c>
      <c r="C11" s="24" t="s">
        <v>40</v>
      </c>
      <c r="D11" s="188"/>
      <c r="E11" s="74" t="s">
        <v>41</v>
      </c>
      <c r="F11" s="20" t="s">
        <v>42</v>
      </c>
      <c r="G11" s="20" t="s">
        <v>43</v>
      </c>
      <c r="H11" s="20"/>
      <c r="I11" s="27"/>
      <c r="J11" s="14" t="s">
        <v>854</v>
      </c>
      <c r="K11" s="28"/>
      <c r="L11" s="187"/>
      <c r="M11" s="187"/>
      <c r="N11" s="187"/>
      <c r="O11" s="187"/>
      <c r="P11" s="187"/>
      <c r="Q11" s="187"/>
    </row>
    <row r="12" spans="1:17" ht="221" x14ac:dyDescent="0.2">
      <c r="A12" s="16" t="s">
        <v>44</v>
      </c>
      <c r="B12" s="30" t="s">
        <v>45</v>
      </c>
      <c r="C12" s="15" t="s">
        <v>46</v>
      </c>
      <c r="D12" s="31"/>
      <c r="E12" s="20" t="s">
        <v>47</v>
      </c>
      <c r="F12" s="14" t="s">
        <v>48</v>
      </c>
      <c r="G12" s="20" t="s">
        <v>49</v>
      </c>
      <c r="H12" s="14"/>
      <c r="I12" s="10"/>
      <c r="J12" s="14" t="s">
        <v>854</v>
      </c>
      <c r="K12" s="33"/>
      <c r="L12" s="187"/>
      <c r="M12" s="187"/>
      <c r="N12" s="187"/>
      <c r="O12" s="187"/>
      <c r="P12" s="187"/>
      <c r="Q12" s="187"/>
    </row>
    <row r="13" spans="1:17" ht="17" customHeight="1" x14ac:dyDescent="0.2">
      <c r="A13" s="9" t="s">
        <v>50</v>
      </c>
      <c r="B13" s="197" t="s">
        <v>1376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9"/>
    </row>
    <row r="14" spans="1:17" ht="119" x14ac:dyDescent="0.2">
      <c r="A14" s="16" t="s">
        <v>51</v>
      </c>
      <c r="B14" s="172" t="s">
        <v>52</v>
      </c>
      <c r="C14" s="173"/>
      <c r="D14" s="174" t="s">
        <v>53</v>
      </c>
      <c r="E14" s="172" t="s">
        <v>54</v>
      </c>
      <c r="F14" s="172" t="s">
        <v>55</v>
      </c>
      <c r="G14" s="172" t="s">
        <v>56</v>
      </c>
      <c r="H14" s="172"/>
      <c r="I14" s="172"/>
      <c r="J14" s="172" t="s">
        <v>855</v>
      </c>
      <c r="K14" s="175"/>
      <c r="L14" s="187"/>
      <c r="M14" s="187"/>
      <c r="N14" s="187"/>
      <c r="O14" s="187"/>
      <c r="P14" s="187"/>
      <c r="Q14" s="187"/>
    </row>
    <row r="15" spans="1:17" ht="85" x14ac:dyDescent="0.2">
      <c r="A15" s="16" t="s">
        <v>57</v>
      </c>
      <c r="B15" s="172" t="s">
        <v>58</v>
      </c>
      <c r="C15" s="174"/>
      <c r="D15" s="174" t="s">
        <v>59</v>
      </c>
      <c r="E15" s="176" t="s">
        <v>60</v>
      </c>
      <c r="F15" s="172" t="s">
        <v>27</v>
      </c>
      <c r="G15" s="176" t="s">
        <v>61</v>
      </c>
      <c r="H15" s="172"/>
      <c r="I15" s="177"/>
      <c r="J15" s="172" t="s">
        <v>856</v>
      </c>
      <c r="K15" s="175"/>
      <c r="L15" s="187"/>
      <c r="M15" s="187"/>
      <c r="N15" s="187"/>
      <c r="O15" s="187"/>
      <c r="P15" s="187"/>
      <c r="Q15" s="187"/>
    </row>
    <row r="16" spans="1:17" ht="119" x14ac:dyDescent="0.2">
      <c r="A16" s="16" t="s">
        <v>62</v>
      </c>
      <c r="B16" s="178" t="s">
        <v>63</v>
      </c>
      <c r="C16" s="174"/>
      <c r="D16" s="174" t="s">
        <v>64</v>
      </c>
      <c r="E16" s="172" t="s">
        <v>65</v>
      </c>
      <c r="F16" s="172"/>
      <c r="G16" s="172" t="s">
        <v>66</v>
      </c>
      <c r="H16" s="172"/>
      <c r="I16" s="177"/>
      <c r="J16" s="172" t="s">
        <v>856</v>
      </c>
      <c r="K16" s="175"/>
      <c r="L16" s="187"/>
      <c r="M16" s="187"/>
      <c r="N16" s="187"/>
      <c r="O16" s="187"/>
      <c r="P16" s="187"/>
      <c r="Q16" s="187"/>
    </row>
    <row r="17" spans="1:17" ht="85" x14ac:dyDescent="0.2">
      <c r="A17" s="16" t="s">
        <v>67</v>
      </c>
      <c r="B17" s="179" t="s">
        <v>68</v>
      </c>
      <c r="C17" s="180"/>
      <c r="D17" s="180" t="s">
        <v>69</v>
      </c>
      <c r="E17" s="172" t="s">
        <v>70</v>
      </c>
      <c r="F17" s="172" t="s">
        <v>71</v>
      </c>
      <c r="G17" s="172" t="s">
        <v>72</v>
      </c>
      <c r="H17" s="172"/>
      <c r="I17" s="177"/>
      <c r="J17" s="172" t="s">
        <v>856</v>
      </c>
      <c r="K17" s="175"/>
      <c r="L17" s="187"/>
      <c r="M17" s="187"/>
      <c r="N17" s="187"/>
      <c r="O17" s="187"/>
      <c r="P17" s="187"/>
      <c r="Q17" s="187"/>
    </row>
    <row r="18" spans="1:17" ht="136" x14ac:dyDescent="0.2">
      <c r="A18" s="16" t="s">
        <v>73</v>
      </c>
      <c r="B18" s="178" t="s">
        <v>74</v>
      </c>
      <c r="C18" s="181"/>
      <c r="D18" s="181" t="s">
        <v>75</v>
      </c>
      <c r="E18" s="172" t="s">
        <v>76</v>
      </c>
      <c r="F18" s="172"/>
      <c r="G18" s="172" t="s">
        <v>77</v>
      </c>
      <c r="H18" s="172"/>
      <c r="I18" s="177"/>
      <c r="J18" s="172" t="s">
        <v>857</v>
      </c>
      <c r="K18" s="175"/>
      <c r="L18" s="187"/>
      <c r="M18" s="187"/>
      <c r="N18" s="187"/>
      <c r="O18" s="187"/>
      <c r="P18" s="187"/>
      <c r="Q18" s="187"/>
    </row>
    <row r="19" spans="1:17" ht="136" x14ac:dyDescent="0.2">
      <c r="A19" s="16" t="s">
        <v>78</v>
      </c>
      <c r="B19" s="178" t="s">
        <v>79</v>
      </c>
      <c r="C19" s="180"/>
      <c r="D19" s="180">
        <v>30956</v>
      </c>
      <c r="E19" s="172" t="s">
        <v>80</v>
      </c>
      <c r="F19" s="172" t="s">
        <v>81</v>
      </c>
      <c r="G19" s="172" t="s">
        <v>82</v>
      </c>
      <c r="H19" s="172"/>
      <c r="I19" s="177"/>
      <c r="J19" s="172" t="s">
        <v>857</v>
      </c>
      <c r="K19" s="175"/>
      <c r="L19" s="187"/>
      <c r="M19" s="187"/>
      <c r="N19" s="187"/>
      <c r="O19" s="187"/>
      <c r="P19" s="187"/>
      <c r="Q19" s="187"/>
    </row>
    <row r="20" spans="1:17" ht="119" x14ac:dyDescent="0.2">
      <c r="A20" s="16" t="s">
        <v>83</v>
      </c>
      <c r="B20" s="178" t="s">
        <v>84</v>
      </c>
      <c r="C20" s="181" t="s">
        <v>85</v>
      </c>
      <c r="D20" s="175"/>
      <c r="E20" s="172" t="s">
        <v>86</v>
      </c>
      <c r="F20" s="172"/>
      <c r="G20" s="172" t="s">
        <v>87</v>
      </c>
      <c r="H20" s="172"/>
      <c r="I20" s="177"/>
      <c r="J20" s="172" t="s">
        <v>857</v>
      </c>
      <c r="K20" s="175"/>
      <c r="L20" s="187"/>
      <c r="M20" s="187"/>
      <c r="N20" s="187"/>
      <c r="O20" s="187"/>
      <c r="P20" s="187"/>
      <c r="Q20" s="187"/>
    </row>
    <row r="21" spans="1:17" ht="102" x14ac:dyDescent="0.2">
      <c r="A21" s="16" t="s">
        <v>88</v>
      </c>
      <c r="B21" s="178" t="s">
        <v>89</v>
      </c>
      <c r="C21" s="181"/>
      <c r="D21" s="181" t="s">
        <v>90</v>
      </c>
      <c r="E21" s="172" t="s">
        <v>91</v>
      </c>
      <c r="F21" s="172"/>
      <c r="G21" s="172" t="s">
        <v>92</v>
      </c>
      <c r="H21" s="172"/>
      <c r="I21" s="177"/>
      <c r="J21" s="172" t="s">
        <v>857</v>
      </c>
      <c r="K21" s="175"/>
      <c r="L21" s="187"/>
      <c r="M21" s="187"/>
      <c r="N21" s="187"/>
      <c r="O21" s="187"/>
      <c r="P21" s="187"/>
      <c r="Q21" s="187"/>
    </row>
    <row r="22" spans="1:17" ht="153" x14ac:dyDescent="0.2">
      <c r="A22" s="16" t="s">
        <v>93</v>
      </c>
      <c r="B22" s="178" t="s">
        <v>94</v>
      </c>
      <c r="C22" s="181" t="s">
        <v>95</v>
      </c>
      <c r="D22" s="175"/>
      <c r="E22" s="172" t="s">
        <v>96</v>
      </c>
      <c r="F22" s="172"/>
      <c r="G22" s="172" t="s">
        <v>97</v>
      </c>
      <c r="H22" s="172"/>
      <c r="I22" s="177"/>
      <c r="J22" s="172" t="s">
        <v>857</v>
      </c>
      <c r="K22" s="175"/>
      <c r="L22" s="187"/>
      <c r="M22" s="187"/>
      <c r="N22" s="187"/>
      <c r="O22" s="187"/>
      <c r="P22" s="187"/>
      <c r="Q22" s="187"/>
    </row>
    <row r="23" spans="1:17" ht="51" x14ac:dyDescent="0.2">
      <c r="A23" s="16" t="s">
        <v>98</v>
      </c>
      <c r="B23" s="182" t="s">
        <v>99</v>
      </c>
      <c r="C23" s="183"/>
      <c r="D23" s="183" t="s">
        <v>100</v>
      </c>
      <c r="E23" s="176" t="s">
        <v>101</v>
      </c>
      <c r="F23" s="172"/>
      <c r="G23" s="176" t="s">
        <v>77</v>
      </c>
      <c r="H23" s="172"/>
      <c r="I23" s="177"/>
      <c r="J23" s="172" t="s">
        <v>857</v>
      </c>
      <c r="K23" s="175"/>
      <c r="L23" s="187"/>
      <c r="M23" s="187"/>
      <c r="N23" s="187"/>
      <c r="O23" s="187"/>
      <c r="P23" s="187"/>
      <c r="Q23" s="187"/>
    </row>
    <row r="24" spans="1:17" ht="51" x14ac:dyDescent="0.2">
      <c r="A24" s="16" t="s">
        <v>102</v>
      </c>
      <c r="B24" s="179" t="s">
        <v>103</v>
      </c>
      <c r="C24" s="184"/>
      <c r="D24" s="184" t="s">
        <v>104</v>
      </c>
      <c r="E24" s="172" t="s">
        <v>105</v>
      </c>
      <c r="F24" s="172"/>
      <c r="G24" s="172" t="s">
        <v>106</v>
      </c>
      <c r="H24" s="172"/>
      <c r="I24" s="177"/>
      <c r="J24" s="172" t="s">
        <v>857</v>
      </c>
      <c r="K24" s="175"/>
      <c r="L24" s="187"/>
      <c r="M24" s="187"/>
      <c r="N24" s="187"/>
      <c r="O24" s="187"/>
      <c r="P24" s="187"/>
      <c r="Q24" s="187"/>
    </row>
    <row r="25" spans="1:17" ht="85" x14ac:dyDescent="0.2">
      <c r="A25" s="16" t="s">
        <v>107</v>
      </c>
      <c r="B25" s="182" t="s">
        <v>108</v>
      </c>
      <c r="C25" s="183" t="s">
        <v>109</v>
      </c>
      <c r="D25" s="183"/>
      <c r="E25" s="172" t="s">
        <v>110</v>
      </c>
      <c r="F25" s="172" t="s">
        <v>111</v>
      </c>
      <c r="G25" s="176" t="s">
        <v>112</v>
      </c>
      <c r="H25" s="172"/>
      <c r="I25" s="177"/>
      <c r="J25" s="172" t="s">
        <v>857</v>
      </c>
      <c r="K25" s="175"/>
      <c r="L25" s="187"/>
      <c r="M25" s="187"/>
      <c r="N25" s="187"/>
      <c r="O25" s="187"/>
      <c r="P25" s="187"/>
      <c r="Q25" s="187"/>
    </row>
    <row r="26" spans="1:17" ht="68" x14ac:dyDescent="0.2">
      <c r="A26" s="16" t="s">
        <v>1356</v>
      </c>
      <c r="B26" s="182" t="s">
        <v>1359</v>
      </c>
      <c r="C26" s="183" t="s">
        <v>109</v>
      </c>
      <c r="D26" s="183"/>
      <c r="E26" s="172" t="s">
        <v>110</v>
      </c>
      <c r="F26" s="172"/>
      <c r="G26" s="176"/>
      <c r="H26" s="172"/>
      <c r="I26" s="177"/>
      <c r="J26" s="172" t="s">
        <v>857</v>
      </c>
      <c r="K26" s="175"/>
      <c r="L26" s="187"/>
      <c r="M26" s="187"/>
      <c r="N26" s="187"/>
      <c r="O26" s="187"/>
      <c r="P26" s="187"/>
      <c r="Q26" s="187"/>
    </row>
    <row r="27" spans="1:17" ht="85" x14ac:dyDescent="0.2">
      <c r="A27" s="16" t="s">
        <v>1370</v>
      </c>
      <c r="B27" s="182" t="s">
        <v>1371</v>
      </c>
      <c r="C27" s="185" t="s">
        <v>1372</v>
      </c>
      <c r="D27" s="183"/>
      <c r="E27" s="172" t="s">
        <v>1373</v>
      </c>
      <c r="F27" s="172" t="s">
        <v>1374</v>
      </c>
      <c r="G27" s="176" t="s">
        <v>1375</v>
      </c>
      <c r="H27" s="172"/>
      <c r="I27" s="177"/>
      <c r="J27" s="172" t="s">
        <v>857</v>
      </c>
      <c r="K27" s="175"/>
      <c r="L27" s="187"/>
      <c r="M27" s="187"/>
      <c r="N27" s="187"/>
      <c r="O27" s="187"/>
      <c r="P27" s="187"/>
      <c r="Q27" s="187"/>
    </row>
    <row r="28" spans="1:17" ht="17" customHeight="1" x14ac:dyDescent="0.2">
      <c r="A28" s="9" t="s">
        <v>113</v>
      </c>
      <c r="B28" s="200" t="s">
        <v>907</v>
      </c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2"/>
    </row>
    <row r="29" spans="1:17" ht="85" x14ac:dyDescent="0.2">
      <c r="A29" s="16" t="s">
        <v>114</v>
      </c>
      <c r="B29" s="173" t="s">
        <v>115</v>
      </c>
      <c r="C29" s="174"/>
      <c r="D29" s="174" t="s">
        <v>116</v>
      </c>
      <c r="E29" s="186" t="s">
        <v>117</v>
      </c>
      <c r="F29" s="178" t="s">
        <v>118</v>
      </c>
      <c r="G29" s="186" t="s">
        <v>77</v>
      </c>
      <c r="H29" s="172"/>
      <c r="I29" s="177"/>
      <c r="J29" s="172" t="s">
        <v>859</v>
      </c>
      <c r="K29" s="175"/>
      <c r="L29" s="187"/>
      <c r="M29" s="187"/>
      <c r="N29" s="187"/>
      <c r="O29" s="187"/>
      <c r="P29" s="187"/>
      <c r="Q29" s="187"/>
    </row>
    <row r="30" spans="1:17" ht="68" x14ac:dyDescent="0.2">
      <c r="A30" s="16" t="s">
        <v>119</v>
      </c>
      <c r="B30" s="178" t="s">
        <v>120</v>
      </c>
      <c r="C30" s="181"/>
      <c r="D30" s="181" t="s">
        <v>121</v>
      </c>
      <c r="E30" s="172" t="s">
        <v>122</v>
      </c>
      <c r="F30" s="172" t="s">
        <v>123</v>
      </c>
      <c r="G30" s="172" t="s">
        <v>124</v>
      </c>
      <c r="H30" s="172"/>
      <c r="I30" s="177"/>
      <c r="J30" s="172" t="s">
        <v>860</v>
      </c>
      <c r="K30" s="175"/>
      <c r="L30" s="187"/>
      <c r="M30" s="187"/>
      <c r="N30" s="187"/>
      <c r="O30" s="187"/>
      <c r="P30" s="187"/>
      <c r="Q30" s="187"/>
    </row>
    <row r="31" spans="1:17" ht="187" x14ac:dyDescent="0.2">
      <c r="A31" s="16" t="s">
        <v>125</v>
      </c>
      <c r="B31" s="173" t="s">
        <v>126</v>
      </c>
      <c r="C31" s="174"/>
      <c r="D31" s="174" t="s">
        <v>127</v>
      </c>
      <c r="E31" s="172" t="s">
        <v>128</v>
      </c>
      <c r="F31" s="172" t="s">
        <v>129</v>
      </c>
      <c r="G31" s="176" t="s">
        <v>87</v>
      </c>
      <c r="H31" s="172"/>
      <c r="I31" s="177"/>
      <c r="J31" s="172" t="s">
        <v>860</v>
      </c>
      <c r="K31" s="175"/>
      <c r="L31" s="187"/>
      <c r="M31" s="187"/>
      <c r="N31" s="187"/>
      <c r="O31" s="187"/>
      <c r="P31" s="187"/>
      <c r="Q31" s="187"/>
    </row>
    <row r="32" spans="1:17" ht="51" x14ac:dyDescent="0.2">
      <c r="A32" s="16" t="s">
        <v>130</v>
      </c>
      <c r="B32" s="182" t="s">
        <v>131</v>
      </c>
      <c r="C32" s="183"/>
      <c r="D32" s="183" t="s">
        <v>132</v>
      </c>
      <c r="E32" s="176" t="s">
        <v>133</v>
      </c>
      <c r="F32" s="172"/>
      <c r="G32" s="176" t="s">
        <v>77</v>
      </c>
      <c r="H32" s="172"/>
      <c r="I32" s="177"/>
      <c r="J32" s="172" t="s">
        <v>861</v>
      </c>
      <c r="K32" s="175"/>
      <c r="L32" s="187"/>
      <c r="M32" s="187"/>
      <c r="N32" s="187"/>
      <c r="O32" s="187"/>
      <c r="P32" s="187"/>
      <c r="Q32" s="187"/>
    </row>
    <row r="33" spans="1:17" ht="119" x14ac:dyDescent="0.2">
      <c r="A33" s="16" t="s">
        <v>134</v>
      </c>
      <c r="B33" s="173" t="s">
        <v>135</v>
      </c>
      <c r="C33" s="174"/>
      <c r="D33" s="174" t="s">
        <v>136</v>
      </c>
      <c r="E33" s="176" t="s">
        <v>137</v>
      </c>
      <c r="F33" s="172"/>
      <c r="G33" s="176" t="s">
        <v>138</v>
      </c>
      <c r="H33" s="172"/>
      <c r="I33" s="177"/>
      <c r="J33" s="172" t="s">
        <v>862</v>
      </c>
      <c r="K33" s="175"/>
      <c r="L33" s="187"/>
      <c r="M33" s="187"/>
      <c r="N33" s="187"/>
      <c r="O33" s="187"/>
      <c r="P33" s="187"/>
      <c r="Q33" s="187"/>
    </row>
    <row r="34" spans="1:17" ht="68" x14ac:dyDescent="0.2">
      <c r="A34" s="16" t="s">
        <v>139</v>
      </c>
      <c r="B34" s="178" t="s">
        <v>140</v>
      </c>
      <c r="C34" s="180" t="s">
        <v>141</v>
      </c>
      <c r="D34" s="175"/>
      <c r="E34" s="172" t="s">
        <v>142</v>
      </c>
      <c r="F34" s="172"/>
      <c r="G34" s="172" t="s">
        <v>143</v>
      </c>
      <c r="H34" s="172"/>
      <c r="I34" s="177"/>
      <c r="J34" s="172" t="s">
        <v>863</v>
      </c>
      <c r="K34" s="175"/>
      <c r="L34" s="187"/>
      <c r="M34" s="187"/>
      <c r="N34" s="187"/>
      <c r="O34" s="187"/>
      <c r="P34" s="187"/>
      <c r="Q34" s="187"/>
    </row>
    <row r="35" spans="1:17" ht="119" x14ac:dyDescent="0.2">
      <c r="A35" s="16" t="s">
        <v>144</v>
      </c>
      <c r="B35" s="172" t="s">
        <v>145</v>
      </c>
      <c r="C35" s="174"/>
      <c r="D35" s="174" t="s">
        <v>146</v>
      </c>
      <c r="E35" s="176" t="s">
        <v>147</v>
      </c>
      <c r="F35" s="172" t="s">
        <v>148</v>
      </c>
      <c r="G35" s="176" t="s">
        <v>149</v>
      </c>
      <c r="H35" s="172"/>
      <c r="I35" s="177"/>
      <c r="J35" s="172" t="s">
        <v>863</v>
      </c>
      <c r="K35" s="175"/>
      <c r="L35" s="187"/>
      <c r="M35" s="187"/>
      <c r="N35" s="187"/>
      <c r="O35" s="187"/>
      <c r="P35" s="187"/>
      <c r="Q35" s="187"/>
    </row>
    <row r="36" spans="1:17" ht="102" x14ac:dyDescent="0.2">
      <c r="A36" s="16" t="s">
        <v>150</v>
      </c>
      <c r="B36" s="178" t="s">
        <v>151</v>
      </c>
      <c r="C36" s="181"/>
      <c r="D36" s="181" t="s">
        <v>152</v>
      </c>
      <c r="E36" s="172" t="s">
        <v>153</v>
      </c>
      <c r="F36" s="172"/>
      <c r="G36" s="172" t="s">
        <v>154</v>
      </c>
      <c r="H36" s="172"/>
      <c r="I36" s="177"/>
      <c r="J36" s="172" t="s">
        <v>863</v>
      </c>
      <c r="K36" s="175"/>
      <c r="L36" s="187"/>
      <c r="M36" s="187"/>
      <c r="N36" s="187"/>
      <c r="O36" s="187"/>
      <c r="P36" s="187"/>
      <c r="Q36" s="187"/>
    </row>
    <row r="37" spans="1:17" ht="51" x14ac:dyDescent="0.2">
      <c r="A37" s="16" t="s">
        <v>906</v>
      </c>
      <c r="B37" s="178" t="s">
        <v>902</v>
      </c>
      <c r="C37" s="181"/>
      <c r="D37" s="181" t="s">
        <v>903</v>
      </c>
      <c r="E37" s="172"/>
      <c r="F37" s="172" t="s">
        <v>905</v>
      </c>
      <c r="G37" s="172" t="s">
        <v>904</v>
      </c>
      <c r="H37" s="172"/>
      <c r="I37" s="177"/>
      <c r="J37" s="172" t="s">
        <v>863</v>
      </c>
      <c r="K37" s="175"/>
      <c r="L37" s="187"/>
      <c r="M37" s="187"/>
      <c r="N37" s="187"/>
      <c r="O37" s="187"/>
      <c r="P37" s="187"/>
      <c r="Q37" s="187"/>
    </row>
    <row r="38" spans="1:17" ht="17" customHeight="1" x14ac:dyDescent="0.2">
      <c r="A38" s="9" t="s">
        <v>155</v>
      </c>
      <c r="B38" s="197" t="s">
        <v>156</v>
      </c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9"/>
    </row>
    <row r="39" spans="1:17" ht="136" x14ac:dyDescent="0.2">
      <c r="A39" s="16" t="s">
        <v>157</v>
      </c>
      <c r="B39" s="172" t="s">
        <v>158</v>
      </c>
      <c r="C39" s="15" t="s">
        <v>159</v>
      </c>
      <c r="D39" s="21"/>
      <c r="E39" s="20" t="s">
        <v>160</v>
      </c>
      <c r="F39" s="20" t="s">
        <v>161</v>
      </c>
      <c r="G39" s="20" t="s">
        <v>162</v>
      </c>
      <c r="H39" s="14"/>
      <c r="I39" s="10"/>
      <c r="J39" s="14" t="s">
        <v>859</v>
      </c>
      <c r="K39" s="33"/>
      <c r="L39" s="187"/>
      <c r="M39" s="187"/>
      <c r="N39" s="187"/>
      <c r="O39" s="187"/>
      <c r="P39" s="187"/>
      <c r="Q39" s="187"/>
    </row>
    <row r="40" spans="1:17" ht="119" x14ac:dyDescent="0.2">
      <c r="A40" s="16" t="s">
        <v>163</v>
      </c>
      <c r="B40" s="179" t="s">
        <v>164</v>
      </c>
      <c r="C40" s="39"/>
      <c r="D40" s="39" t="s">
        <v>165</v>
      </c>
      <c r="E40" s="20" t="s">
        <v>166</v>
      </c>
      <c r="F40" s="14" t="s">
        <v>167</v>
      </c>
      <c r="G40" s="20" t="s">
        <v>168</v>
      </c>
      <c r="H40" s="14"/>
      <c r="I40" s="10"/>
      <c r="J40" s="14" t="s">
        <v>860</v>
      </c>
      <c r="K40" s="33"/>
      <c r="L40" s="187"/>
      <c r="M40" s="187"/>
      <c r="N40" s="187"/>
      <c r="O40" s="187"/>
      <c r="P40" s="187"/>
      <c r="Q40" s="187"/>
    </row>
    <row r="41" spans="1:17" ht="119" x14ac:dyDescent="0.2">
      <c r="A41" s="16" t="s">
        <v>169</v>
      </c>
      <c r="B41" s="178" t="s">
        <v>170</v>
      </c>
      <c r="C41" s="32" t="s">
        <v>171</v>
      </c>
      <c r="D41" s="33"/>
      <c r="E41" s="20" t="s">
        <v>172</v>
      </c>
      <c r="F41" s="14" t="s">
        <v>173</v>
      </c>
      <c r="G41" s="14" t="s">
        <v>174</v>
      </c>
      <c r="H41" s="14"/>
      <c r="I41" s="10"/>
      <c r="J41" s="14" t="s">
        <v>860</v>
      </c>
      <c r="K41" s="33"/>
      <c r="L41" s="187"/>
      <c r="M41" s="187"/>
      <c r="N41" s="187"/>
      <c r="O41" s="187"/>
      <c r="P41" s="187"/>
      <c r="Q41" s="187"/>
    </row>
    <row r="42" spans="1:17" ht="85" x14ac:dyDescent="0.2">
      <c r="A42" s="16" t="s">
        <v>175</v>
      </c>
      <c r="B42" s="178" t="s">
        <v>176</v>
      </c>
      <c r="C42" s="15" t="s">
        <v>177</v>
      </c>
      <c r="D42" s="33"/>
      <c r="E42" s="20" t="s">
        <v>178</v>
      </c>
      <c r="F42" s="20" t="s">
        <v>179</v>
      </c>
      <c r="G42" s="20" t="s">
        <v>180</v>
      </c>
      <c r="H42" s="14"/>
      <c r="I42" s="10"/>
      <c r="J42" s="14" t="s">
        <v>860</v>
      </c>
      <c r="K42" s="33"/>
      <c r="L42" s="187"/>
      <c r="M42" s="187"/>
      <c r="N42" s="187"/>
      <c r="O42" s="187"/>
      <c r="P42" s="187"/>
      <c r="Q42" s="187"/>
    </row>
    <row r="43" spans="1:17" ht="136" x14ac:dyDescent="0.2">
      <c r="A43" s="16" t="s">
        <v>181</v>
      </c>
      <c r="B43" s="172" t="s">
        <v>182</v>
      </c>
      <c r="C43" s="16"/>
      <c r="D43" s="16" t="s">
        <v>183</v>
      </c>
      <c r="E43" s="37" t="s">
        <v>184</v>
      </c>
      <c r="F43" s="23" t="s">
        <v>185</v>
      </c>
      <c r="G43" s="37" t="s">
        <v>186</v>
      </c>
      <c r="H43" s="14"/>
      <c r="I43" s="10"/>
      <c r="J43" s="14" t="s">
        <v>860</v>
      </c>
      <c r="K43" s="33"/>
      <c r="L43" s="187"/>
      <c r="M43" s="187"/>
      <c r="N43" s="187"/>
      <c r="O43" s="187"/>
      <c r="P43" s="187"/>
      <c r="Q43" s="187"/>
    </row>
    <row r="44" spans="1:17" ht="102" x14ac:dyDescent="0.2">
      <c r="A44" s="16" t="s">
        <v>187</v>
      </c>
      <c r="B44" s="172" t="s">
        <v>188</v>
      </c>
      <c r="C44" s="16"/>
      <c r="D44" s="16" t="s">
        <v>189</v>
      </c>
      <c r="E44" s="37" t="s">
        <v>190</v>
      </c>
      <c r="F44" s="23" t="s">
        <v>27</v>
      </c>
      <c r="G44" s="37" t="s">
        <v>191</v>
      </c>
      <c r="H44" s="14"/>
      <c r="I44" s="10"/>
      <c r="J44" s="38" t="s">
        <v>863</v>
      </c>
      <c r="K44" s="33"/>
      <c r="L44" s="187"/>
      <c r="M44" s="187"/>
      <c r="N44" s="187"/>
      <c r="O44" s="187"/>
      <c r="P44" s="187"/>
      <c r="Q44" s="187"/>
    </row>
    <row r="45" spans="1:17" ht="170" x14ac:dyDescent="0.2">
      <c r="A45" s="16" t="s">
        <v>192</v>
      </c>
      <c r="B45" s="178" t="s">
        <v>193</v>
      </c>
      <c r="C45" s="15"/>
      <c r="D45" s="15" t="s">
        <v>194</v>
      </c>
      <c r="E45" s="20" t="s">
        <v>195</v>
      </c>
      <c r="F45" s="14"/>
      <c r="G45" s="20" t="s">
        <v>196</v>
      </c>
      <c r="H45" s="14"/>
      <c r="I45" s="10"/>
      <c r="J45" s="38" t="s">
        <v>863</v>
      </c>
      <c r="K45" s="33"/>
      <c r="L45" s="187"/>
      <c r="M45" s="187"/>
      <c r="N45" s="187"/>
      <c r="O45" s="187"/>
      <c r="P45" s="187"/>
      <c r="Q45" s="187"/>
    </row>
    <row r="46" spans="1:17" ht="68" x14ac:dyDescent="0.2">
      <c r="A46" s="16" t="s">
        <v>197</v>
      </c>
      <c r="B46" s="178" t="s">
        <v>198</v>
      </c>
      <c r="C46" s="15"/>
      <c r="D46" s="15" t="s">
        <v>199</v>
      </c>
      <c r="E46" s="20" t="s">
        <v>200</v>
      </c>
      <c r="F46" s="14"/>
      <c r="G46" s="20" t="s">
        <v>201</v>
      </c>
      <c r="H46" s="14"/>
      <c r="I46" s="10"/>
      <c r="J46" s="38" t="s">
        <v>863</v>
      </c>
      <c r="K46" s="33"/>
      <c r="L46" s="187"/>
      <c r="M46" s="187"/>
      <c r="N46" s="187"/>
      <c r="O46" s="187"/>
      <c r="P46" s="187"/>
      <c r="Q46" s="187"/>
    </row>
    <row r="47" spans="1:17" ht="119" x14ac:dyDescent="0.2">
      <c r="A47" s="16" t="s">
        <v>202</v>
      </c>
      <c r="B47" s="178" t="s">
        <v>203</v>
      </c>
      <c r="C47" s="15"/>
      <c r="D47" s="15" t="s">
        <v>204</v>
      </c>
      <c r="E47" s="20" t="s">
        <v>205</v>
      </c>
      <c r="F47" s="14"/>
      <c r="G47" s="20" t="s">
        <v>206</v>
      </c>
      <c r="H47" s="14"/>
      <c r="I47" s="10"/>
      <c r="J47" s="38" t="s">
        <v>863</v>
      </c>
      <c r="K47" s="33"/>
      <c r="L47" s="187"/>
      <c r="M47" s="187"/>
      <c r="N47" s="187"/>
      <c r="O47" s="187"/>
      <c r="P47" s="187"/>
      <c r="Q47" s="187"/>
    </row>
    <row r="48" spans="1:17" ht="68" x14ac:dyDescent="0.2">
      <c r="A48" s="16" t="s">
        <v>207</v>
      </c>
      <c r="B48" s="178" t="s">
        <v>208</v>
      </c>
      <c r="C48" s="40"/>
      <c r="D48" s="40" t="s">
        <v>209</v>
      </c>
      <c r="E48" s="20" t="s">
        <v>210</v>
      </c>
      <c r="F48" s="14"/>
      <c r="G48" s="20" t="s">
        <v>211</v>
      </c>
      <c r="H48" s="14"/>
      <c r="I48" s="10"/>
      <c r="J48" s="38" t="s">
        <v>863</v>
      </c>
      <c r="K48" s="33"/>
      <c r="L48" s="187"/>
      <c r="M48" s="187"/>
      <c r="N48" s="187"/>
      <c r="O48" s="187"/>
      <c r="P48" s="187"/>
      <c r="Q48" s="187"/>
    </row>
    <row r="49" spans="1:17" ht="17" customHeight="1" x14ac:dyDescent="0.2">
      <c r="A49" s="9" t="s">
        <v>212</v>
      </c>
      <c r="B49" s="197" t="s">
        <v>213</v>
      </c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9"/>
    </row>
    <row r="50" spans="1:17" ht="153" x14ac:dyDescent="0.2">
      <c r="A50" s="16" t="s">
        <v>214</v>
      </c>
      <c r="B50" s="172" t="s">
        <v>215</v>
      </c>
      <c r="C50" s="16" t="s">
        <v>216</v>
      </c>
      <c r="D50" s="21"/>
      <c r="E50" s="37" t="s">
        <v>217</v>
      </c>
      <c r="F50" s="23" t="s">
        <v>218</v>
      </c>
      <c r="G50" s="37" t="s">
        <v>149</v>
      </c>
      <c r="H50" s="21"/>
      <c r="I50" s="33"/>
      <c r="J50" s="38" t="s">
        <v>859</v>
      </c>
      <c r="K50" s="33"/>
      <c r="L50" s="187"/>
      <c r="M50" s="187"/>
      <c r="N50" s="187"/>
      <c r="O50" s="187"/>
      <c r="P50" s="187"/>
      <c r="Q50" s="187"/>
    </row>
    <row r="51" spans="1:17" ht="68" x14ac:dyDescent="0.2">
      <c r="A51" s="189" t="s">
        <v>219</v>
      </c>
      <c r="B51" s="179" t="s">
        <v>220</v>
      </c>
      <c r="C51" s="123" t="s">
        <v>221</v>
      </c>
      <c r="D51" s="122"/>
      <c r="E51" s="120" t="s">
        <v>222</v>
      </c>
      <c r="F51" s="120"/>
      <c r="G51" s="120" t="s">
        <v>223</v>
      </c>
      <c r="H51" s="120"/>
      <c r="I51" s="121"/>
      <c r="J51" s="126" t="s">
        <v>860</v>
      </c>
      <c r="K51" s="122"/>
      <c r="L51" s="187"/>
      <c r="M51" s="187"/>
      <c r="N51" s="187"/>
      <c r="O51" s="187"/>
      <c r="P51" s="187"/>
      <c r="Q51" s="187"/>
    </row>
    <row r="52" spans="1:17" ht="68" x14ac:dyDescent="0.2">
      <c r="A52" s="16" t="s">
        <v>224</v>
      </c>
      <c r="B52" s="178" t="s">
        <v>225</v>
      </c>
      <c r="C52" s="24"/>
      <c r="D52" s="24" t="s">
        <v>226</v>
      </c>
      <c r="E52" s="20" t="s">
        <v>227</v>
      </c>
      <c r="F52" s="20" t="s">
        <v>228</v>
      </c>
      <c r="G52" s="20" t="s">
        <v>92</v>
      </c>
      <c r="H52" s="14"/>
      <c r="I52" s="10"/>
      <c r="J52" s="38" t="s">
        <v>860</v>
      </c>
      <c r="K52" s="33"/>
      <c r="L52" s="187"/>
      <c r="M52" s="187"/>
      <c r="N52" s="187"/>
      <c r="O52" s="187"/>
      <c r="P52" s="187"/>
      <c r="Q52" s="187"/>
    </row>
    <row r="53" spans="1:17" ht="85" x14ac:dyDescent="0.2">
      <c r="A53" s="16" t="s">
        <v>229</v>
      </c>
      <c r="B53" s="172" t="s">
        <v>230</v>
      </c>
      <c r="C53" s="16"/>
      <c r="D53" s="16" t="s">
        <v>231</v>
      </c>
      <c r="E53" s="19" t="s">
        <v>232</v>
      </c>
      <c r="F53" s="19" t="s">
        <v>233</v>
      </c>
      <c r="G53" s="19" t="s">
        <v>234</v>
      </c>
      <c r="H53" s="14"/>
      <c r="I53" s="10"/>
      <c r="J53" s="20" t="s">
        <v>863</v>
      </c>
      <c r="K53" s="33"/>
      <c r="L53" s="187"/>
      <c r="M53" s="187"/>
      <c r="N53" s="187"/>
      <c r="O53" s="187"/>
      <c r="P53" s="187"/>
      <c r="Q53" s="187"/>
    </row>
    <row r="54" spans="1:17" ht="153" x14ac:dyDescent="0.2">
      <c r="A54" s="16" t="s">
        <v>235</v>
      </c>
      <c r="B54" s="178" t="s">
        <v>236</v>
      </c>
      <c r="C54" s="16"/>
      <c r="D54" s="16" t="s">
        <v>237</v>
      </c>
      <c r="E54" s="20" t="s">
        <v>238</v>
      </c>
      <c r="F54" s="20" t="s">
        <v>239</v>
      </c>
      <c r="G54" s="20" t="s">
        <v>56</v>
      </c>
      <c r="H54" s="14"/>
      <c r="I54" s="10"/>
      <c r="J54" s="20" t="s">
        <v>863</v>
      </c>
      <c r="K54" s="33"/>
      <c r="L54" s="187"/>
      <c r="M54" s="187"/>
      <c r="N54" s="187"/>
      <c r="O54" s="187"/>
      <c r="P54" s="187"/>
      <c r="Q54" s="187"/>
    </row>
    <row r="55" spans="1:17" ht="136" x14ac:dyDescent="0.2">
      <c r="A55" s="16" t="s">
        <v>240</v>
      </c>
      <c r="B55" s="172" t="s">
        <v>241</v>
      </c>
      <c r="C55" s="15" t="s">
        <v>242</v>
      </c>
      <c r="D55" s="33"/>
      <c r="E55" s="20" t="s">
        <v>243</v>
      </c>
      <c r="F55" s="20" t="s">
        <v>244</v>
      </c>
      <c r="G55" s="20" t="s">
        <v>168</v>
      </c>
      <c r="H55" s="14"/>
      <c r="I55" s="10"/>
      <c r="J55" s="20" t="s">
        <v>863</v>
      </c>
      <c r="K55" s="33"/>
      <c r="L55" s="187"/>
      <c r="M55" s="187"/>
      <c r="N55" s="187"/>
      <c r="O55" s="187"/>
      <c r="P55" s="187"/>
      <c r="Q55" s="187"/>
    </row>
    <row r="56" spans="1:17" ht="119" x14ac:dyDescent="0.2">
      <c r="A56" s="189" t="s">
        <v>245</v>
      </c>
      <c r="B56" s="172" t="s">
        <v>246</v>
      </c>
      <c r="C56" s="189"/>
      <c r="D56" s="189" t="s">
        <v>247</v>
      </c>
      <c r="E56" s="119" t="s">
        <v>248</v>
      </c>
      <c r="F56" s="120" t="s">
        <v>249</v>
      </c>
      <c r="G56" s="119" t="s">
        <v>250</v>
      </c>
      <c r="H56" s="120"/>
      <c r="I56" s="121"/>
      <c r="J56" s="120" t="s">
        <v>863</v>
      </c>
      <c r="K56" s="122"/>
      <c r="L56" s="187"/>
      <c r="M56" s="187"/>
      <c r="N56" s="187"/>
      <c r="O56" s="187"/>
      <c r="P56" s="187"/>
      <c r="Q56" s="187"/>
    </row>
    <row r="57" spans="1:17" ht="85" x14ac:dyDescent="0.2">
      <c r="A57" s="16" t="s">
        <v>251</v>
      </c>
      <c r="B57" s="178" t="s">
        <v>252</v>
      </c>
      <c r="C57" s="15" t="s">
        <v>253</v>
      </c>
      <c r="D57" s="33"/>
      <c r="E57" s="20" t="s">
        <v>254</v>
      </c>
      <c r="F57" s="14"/>
      <c r="G57" s="14" t="s">
        <v>255</v>
      </c>
      <c r="H57" s="14"/>
      <c r="I57" s="10"/>
      <c r="J57" s="20" t="s">
        <v>863</v>
      </c>
      <c r="K57" s="33"/>
      <c r="L57" s="187"/>
      <c r="M57" s="187"/>
      <c r="N57" s="187"/>
      <c r="O57" s="187"/>
      <c r="P57" s="187"/>
      <c r="Q57" s="187"/>
    </row>
    <row r="58" spans="1:17" ht="68" x14ac:dyDescent="0.2">
      <c r="A58" s="189" t="s">
        <v>256</v>
      </c>
      <c r="B58" s="179" t="s">
        <v>257</v>
      </c>
      <c r="C58" s="123"/>
      <c r="D58" s="124" t="s">
        <v>258</v>
      </c>
      <c r="E58" s="120" t="s">
        <v>259</v>
      </c>
      <c r="F58" s="120"/>
      <c r="G58" s="120" t="s">
        <v>260</v>
      </c>
      <c r="H58" s="120"/>
      <c r="I58" s="121"/>
      <c r="J58" s="120" t="s">
        <v>863</v>
      </c>
      <c r="K58" s="122"/>
      <c r="L58" s="187"/>
      <c r="M58" s="187"/>
      <c r="N58" s="187"/>
      <c r="O58" s="187"/>
      <c r="P58" s="187"/>
      <c r="Q58" s="187"/>
    </row>
    <row r="59" spans="1:17" ht="68" x14ac:dyDescent="0.2">
      <c r="A59" s="189" t="s">
        <v>261</v>
      </c>
      <c r="B59" s="178" t="s">
        <v>262</v>
      </c>
      <c r="C59" s="125" t="s">
        <v>263</v>
      </c>
      <c r="D59" s="122"/>
      <c r="E59" s="120" t="s">
        <v>264</v>
      </c>
      <c r="F59" s="120" t="s">
        <v>265</v>
      </c>
      <c r="G59" s="120" t="s">
        <v>266</v>
      </c>
      <c r="H59" s="120"/>
      <c r="I59" s="121"/>
      <c r="J59" s="120" t="s">
        <v>863</v>
      </c>
      <c r="K59" s="122"/>
      <c r="L59" s="187"/>
      <c r="M59" s="187"/>
      <c r="N59" s="187"/>
      <c r="O59" s="187"/>
      <c r="P59" s="187"/>
      <c r="Q59" s="187"/>
    </row>
    <row r="60" spans="1:17" ht="17" customHeight="1" x14ac:dyDescent="0.2">
      <c r="A60" s="9" t="s">
        <v>267</v>
      </c>
      <c r="B60" s="197" t="s">
        <v>908</v>
      </c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9"/>
    </row>
    <row r="61" spans="1:17" ht="136" x14ac:dyDescent="0.2">
      <c r="A61" s="16" t="s">
        <v>268</v>
      </c>
      <c r="B61" s="128" t="s">
        <v>269</v>
      </c>
      <c r="C61" s="15" t="s">
        <v>270</v>
      </c>
      <c r="D61" s="33"/>
      <c r="E61" s="20" t="s">
        <v>271</v>
      </c>
      <c r="F61" s="14"/>
      <c r="G61" s="20" t="s">
        <v>272</v>
      </c>
      <c r="H61" s="14"/>
      <c r="I61" s="10"/>
      <c r="J61" s="14" t="s">
        <v>859</v>
      </c>
      <c r="K61" s="33"/>
      <c r="L61" s="187"/>
      <c r="M61" s="187"/>
      <c r="N61" s="187"/>
      <c r="O61" s="187"/>
      <c r="P61" s="187"/>
      <c r="Q61" s="187"/>
    </row>
    <row r="62" spans="1:17" ht="136" x14ac:dyDescent="0.2">
      <c r="A62" s="16" t="s">
        <v>273</v>
      </c>
      <c r="B62" s="128" t="s">
        <v>275</v>
      </c>
      <c r="C62" s="15" t="s">
        <v>276</v>
      </c>
      <c r="D62" s="33"/>
      <c r="E62" s="20" t="s">
        <v>277</v>
      </c>
      <c r="F62" s="14"/>
      <c r="G62" s="20" t="s">
        <v>278</v>
      </c>
      <c r="H62" s="14"/>
      <c r="I62" s="10"/>
      <c r="J62" s="14" t="s">
        <v>860</v>
      </c>
      <c r="K62" s="33"/>
      <c r="L62" s="187"/>
      <c r="M62" s="187"/>
      <c r="N62" s="187"/>
      <c r="O62" s="187"/>
      <c r="P62" s="187"/>
      <c r="Q62" s="187"/>
    </row>
    <row r="63" spans="1:17" ht="68" x14ac:dyDescent="0.2">
      <c r="A63" s="16" t="s">
        <v>274</v>
      </c>
      <c r="B63" s="133" t="s">
        <v>280</v>
      </c>
      <c r="C63" s="40" t="s">
        <v>281</v>
      </c>
      <c r="D63" s="33"/>
      <c r="E63" s="19" t="s">
        <v>282</v>
      </c>
      <c r="F63" s="20" t="s">
        <v>283</v>
      </c>
      <c r="G63" s="20" t="s">
        <v>92</v>
      </c>
      <c r="H63" s="14"/>
      <c r="I63" s="10"/>
      <c r="J63" s="14" t="s">
        <v>860</v>
      </c>
      <c r="K63" s="33"/>
      <c r="L63" s="187"/>
      <c r="M63" s="187"/>
      <c r="N63" s="187"/>
      <c r="O63" s="187"/>
      <c r="P63" s="187"/>
      <c r="Q63" s="187"/>
    </row>
    <row r="64" spans="1:17" ht="68" x14ac:dyDescent="0.2">
      <c r="A64" s="16" t="s">
        <v>279</v>
      </c>
      <c r="B64" s="129" t="s">
        <v>285</v>
      </c>
      <c r="C64" s="35" t="s">
        <v>286</v>
      </c>
      <c r="D64" s="33"/>
      <c r="E64" s="19" t="s">
        <v>287</v>
      </c>
      <c r="F64" s="20"/>
      <c r="G64" s="19" t="s">
        <v>288</v>
      </c>
      <c r="H64" s="14"/>
      <c r="I64" s="10"/>
      <c r="J64" s="38" t="s">
        <v>863</v>
      </c>
      <c r="K64" s="33"/>
      <c r="L64" s="187"/>
      <c r="M64" s="187"/>
      <c r="N64" s="187"/>
      <c r="O64" s="187"/>
      <c r="P64" s="187"/>
      <c r="Q64" s="187"/>
    </row>
    <row r="65" spans="1:17" ht="68" x14ac:dyDescent="0.2">
      <c r="A65" s="16" t="s">
        <v>284</v>
      </c>
      <c r="B65" s="131" t="s">
        <v>290</v>
      </c>
      <c r="C65" s="42" t="s">
        <v>291</v>
      </c>
      <c r="D65" s="33"/>
      <c r="E65" s="19" t="s">
        <v>292</v>
      </c>
      <c r="F65" s="20"/>
      <c r="G65" s="19" t="s">
        <v>293</v>
      </c>
      <c r="H65" s="14"/>
      <c r="I65" s="10"/>
      <c r="J65" s="38" t="s">
        <v>863</v>
      </c>
      <c r="K65" s="33"/>
      <c r="L65" s="187"/>
      <c r="M65" s="187"/>
      <c r="N65" s="187"/>
      <c r="O65" s="187"/>
      <c r="P65" s="187"/>
      <c r="Q65" s="187"/>
    </row>
    <row r="66" spans="1:17" ht="51" x14ac:dyDescent="0.2">
      <c r="A66" s="16" t="s">
        <v>289</v>
      </c>
      <c r="B66" s="131" t="s">
        <v>295</v>
      </c>
      <c r="C66" s="40" t="s">
        <v>296</v>
      </c>
      <c r="D66" s="33"/>
      <c r="E66" s="19" t="s">
        <v>297</v>
      </c>
      <c r="F66" s="20" t="s">
        <v>298</v>
      </c>
      <c r="G66" s="20" t="s">
        <v>92</v>
      </c>
      <c r="H66" s="14"/>
      <c r="I66" s="10"/>
      <c r="J66" s="38" t="s">
        <v>863</v>
      </c>
      <c r="K66" s="33"/>
      <c r="L66" s="187"/>
      <c r="M66" s="187"/>
      <c r="N66" s="187"/>
      <c r="O66" s="187"/>
      <c r="P66" s="187"/>
      <c r="Q66" s="187"/>
    </row>
    <row r="67" spans="1:17" ht="51" x14ac:dyDescent="0.2">
      <c r="A67" s="16" t="s">
        <v>294</v>
      </c>
      <c r="B67" s="131" t="s">
        <v>300</v>
      </c>
      <c r="C67" s="42" t="s">
        <v>301</v>
      </c>
      <c r="D67" s="33"/>
      <c r="E67" s="19" t="s">
        <v>302</v>
      </c>
      <c r="F67" s="20"/>
      <c r="G67" s="19" t="s">
        <v>92</v>
      </c>
      <c r="H67" s="14"/>
      <c r="I67" s="10"/>
      <c r="J67" s="38" t="s">
        <v>863</v>
      </c>
      <c r="K67" s="33"/>
      <c r="L67" s="187"/>
      <c r="M67" s="187"/>
      <c r="N67" s="187"/>
      <c r="O67" s="187"/>
      <c r="P67" s="187"/>
      <c r="Q67" s="187"/>
    </row>
    <row r="68" spans="1:17" ht="136" x14ac:dyDescent="0.2">
      <c r="A68" s="16" t="s">
        <v>299</v>
      </c>
      <c r="B68" s="128" t="s">
        <v>304</v>
      </c>
      <c r="C68" s="15" t="s">
        <v>305</v>
      </c>
      <c r="D68" s="33"/>
      <c r="E68" s="20" t="s">
        <v>306</v>
      </c>
      <c r="F68" s="14"/>
      <c r="G68" s="20" t="s">
        <v>56</v>
      </c>
      <c r="H68" s="14"/>
      <c r="I68" s="10"/>
      <c r="J68" s="38" t="s">
        <v>863</v>
      </c>
      <c r="K68" s="33"/>
      <c r="L68" s="187"/>
      <c r="M68" s="187"/>
      <c r="N68" s="187"/>
      <c r="O68" s="187"/>
      <c r="P68" s="187"/>
      <c r="Q68" s="187"/>
    </row>
    <row r="69" spans="1:17" ht="102" x14ac:dyDescent="0.2">
      <c r="A69" s="16" t="s">
        <v>303</v>
      </c>
      <c r="B69" s="128" t="s">
        <v>308</v>
      </c>
      <c r="C69" s="15" t="s">
        <v>309</v>
      </c>
      <c r="D69" s="33"/>
      <c r="E69" s="20" t="s">
        <v>310</v>
      </c>
      <c r="F69" s="14"/>
      <c r="G69" s="20" t="s">
        <v>311</v>
      </c>
      <c r="H69" s="14"/>
      <c r="I69" s="10"/>
      <c r="J69" s="38" t="s">
        <v>863</v>
      </c>
      <c r="K69" s="33"/>
      <c r="L69" s="187"/>
      <c r="M69" s="187"/>
      <c r="N69" s="187"/>
      <c r="O69" s="187"/>
      <c r="P69" s="187"/>
      <c r="Q69" s="187"/>
    </row>
    <row r="70" spans="1:17" ht="119" x14ac:dyDescent="0.2">
      <c r="A70" s="16" t="s">
        <v>307</v>
      </c>
      <c r="B70" s="128" t="s">
        <v>313</v>
      </c>
      <c r="C70" s="15"/>
      <c r="D70" s="15" t="s">
        <v>314</v>
      </c>
      <c r="E70" s="20" t="s">
        <v>315</v>
      </c>
      <c r="F70" s="14"/>
      <c r="G70" s="20" t="s">
        <v>56</v>
      </c>
      <c r="H70" s="14"/>
      <c r="I70" s="10"/>
      <c r="J70" s="38" t="s">
        <v>863</v>
      </c>
      <c r="K70" s="33"/>
      <c r="L70" s="187"/>
      <c r="M70" s="187"/>
      <c r="N70" s="187"/>
      <c r="O70" s="187"/>
      <c r="P70" s="187"/>
      <c r="Q70" s="187"/>
    </row>
    <row r="71" spans="1:17" ht="85" x14ac:dyDescent="0.2">
      <c r="A71" s="16" t="s">
        <v>312</v>
      </c>
      <c r="B71" s="132" t="s">
        <v>317</v>
      </c>
      <c r="C71" s="40" t="s">
        <v>318</v>
      </c>
      <c r="D71" s="33"/>
      <c r="E71" s="44" t="s">
        <v>319</v>
      </c>
      <c r="F71" s="14"/>
      <c r="G71" s="20" t="s">
        <v>92</v>
      </c>
      <c r="H71" s="14"/>
      <c r="I71" s="10"/>
      <c r="J71" s="38" t="s">
        <v>863</v>
      </c>
      <c r="K71" s="33"/>
      <c r="L71" s="187"/>
      <c r="M71" s="187"/>
      <c r="N71" s="187"/>
      <c r="O71" s="187"/>
      <c r="P71" s="187"/>
      <c r="Q71" s="187"/>
    </row>
    <row r="72" spans="1:17" ht="85" x14ac:dyDescent="0.2">
      <c r="A72" s="16" t="s">
        <v>316</v>
      </c>
      <c r="B72" s="128" t="s">
        <v>320</v>
      </c>
      <c r="C72" s="190"/>
      <c r="D72" s="15" t="s">
        <v>321</v>
      </c>
      <c r="E72" s="20" t="s">
        <v>322</v>
      </c>
      <c r="F72" s="14"/>
      <c r="G72" s="20" t="s">
        <v>92</v>
      </c>
      <c r="H72" s="14"/>
      <c r="I72" s="10"/>
      <c r="J72" s="38" t="s">
        <v>863</v>
      </c>
      <c r="K72" s="33"/>
      <c r="L72" s="187"/>
      <c r="M72" s="187"/>
      <c r="N72" s="187"/>
      <c r="O72" s="187"/>
      <c r="P72" s="187"/>
      <c r="Q72" s="187"/>
    </row>
    <row r="73" spans="1:17" ht="17" customHeight="1" x14ac:dyDescent="0.2">
      <c r="A73" s="9" t="s">
        <v>323</v>
      </c>
      <c r="B73" s="197" t="s">
        <v>324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9"/>
    </row>
    <row r="74" spans="1:17" ht="136" x14ac:dyDescent="0.2">
      <c r="A74" s="55" t="s">
        <v>325</v>
      </c>
      <c r="B74" s="128" t="s">
        <v>326</v>
      </c>
      <c r="C74" s="15" t="s">
        <v>327</v>
      </c>
      <c r="D74" s="33"/>
      <c r="E74" s="20" t="s">
        <v>328</v>
      </c>
      <c r="F74" s="20" t="s">
        <v>329</v>
      </c>
      <c r="G74" s="20" t="s">
        <v>293</v>
      </c>
      <c r="H74" s="14"/>
      <c r="I74" s="10"/>
      <c r="J74" s="38" t="s">
        <v>859</v>
      </c>
      <c r="K74" s="33"/>
      <c r="L74" s="187"/>
      <c r="M74" s="187"/>
      <c r="N74" s="187"/>
      <c r="O74" s="187"/>
      <c r="P74" s="187"/>
      <c r="Q74" s="187"/>
    </row>
    <row r="75" spans="1:17" ht="119" x14ac:dyDescent="0.2">
      <c r="A75" s="55" t="s">
        <v>330</v>
      </c>
      <c r="B75" s="131" t="s">
        <v>331</v>
      </c>
      <c r="C75" s="16" t="s">
        <v>332</v>
      </c>
      <c r="D75" s="33"/>
      <c r="E75" s="19" t="s">
        <v>333</v>
      </c>
      <c r="F75" s="14"/>
      <c r="G75" s="19" t="s">
        <v>334</v>
      </c>
      <c r="H75" s="14"/>
      <c r="I75" s="10"/>
      <c r="J75" s="38" t="s">
        <v>860</v>
      </c>
      <c r="K75" s="33"/>
      <c r="L75" s="187"/>
      <c r="M75" s="187"/>
      <c r="N75" s="187"/>
      <c r="O75" s="187"/>
      <c r="P75" s="187"/>
      <c r="Q75" s="187"/>
    </row>
    <row r="76" spans="1:17" ht="68" x14ac:dyDescent="0.2">
      <c r="A76" s="55" t="s">
        <v>335</v>
      </c>
      <c r="B76" s="128" t="s">
        <v>336</v>
      </c>
      <c r="C76" s="15" t="s">
        <v>337</v>
      </c>
      <c r="D76" s="33"/>
      <c r="E76" s="20" t="s">
        <v>338</v>
      </c>
      <c r="F76" s="14" t="s">
        <v>339</v>
      </c>
      <c r="G76" s="20" t="s">
        <v>340</v>
      </c>
      <c r="H76" s="14"/>
      <c r="I76" s="10"/>
      <c r="J76" s="14" t="s">
        <v>863</v>
      </c>
      <c r="K76" s="33"/>
      <c r="L76" s="187"/>
      <c r="M76" s="187"/>
      <c r="N76" s="187"/>
      <c r="O76" s="187"/>
      <c r="P76" s="187"/>
      <c r="Q76" s="187"/>
    </row>
    <row r="77" spans="1:17" ht="170" x14ac:dyDescent="0.2">
      <c r="A77" s="55" t="s">
        <v>341</v>
      </c>
      <c r="B77" s="131" t="s">
        <v>342</v>
      </c>
      <c r="C77" s="16" t="s">
        <v>343</v>
      </c>
      <c r="D77" s="33"/>
      <c r="E77" s="36" t="s">
        <v>344</v>
      </c>
      <c r="F77" s="14"/>
      <c r="G77" s="36" t="s">
        <v>345</v>
      </c>
      <c r="H77" s="14" t="s">
        <v>346</v>
      </c>
      <c r="I77" s="10"/>
      <c r="J77" s="14" t="s">
        <v>863</v>
      </c>
      <c r="K77" s="33"/>
      <c r="L77" s="187"/>
      <c r="M77" s="187"/>
      <c r="N77" s="187"/>
      <c r="O77" s="187"/>
      <c r="P77" s="187"/>
      <c r="Q77" s="187"/>
    </row>
    <row r="78" spans="1:17" ht="136" x14ac:dyDescent="0.2">
      <c r="A78" s="55" t="s">
        <v>347</v>
      </c>
      <c r="B78" s="128" t="s">
        <v>348</v>
      </c>
      <c r="C78" s="190"/>
      <c r="D78" s="15" t="s">
        <v>349</v>
      </c>
      <c r="E78" s="20" t="s">
        <v>350</v>
      </c>
      <c r="F78" s="14"/>
      <c r="G78" s="20" t="s">
        <v>92</v>
      </c>
      <c r="H78" s="14"/>
      <c r="I78" s="10"/>
      <c r="J78" s="14" t="s">
        <v>863</v>
      </c>
      <c r="K78" s="33"/>
      <c r="L78" s="187"/>
      <c r="M78" s="187"/>
      <c r="N78" s="187"/>
      <c r="O78" s="187"/>
      <c r="P78" s="187"/>
      <c r="Q78" s="187"/>
    </row>
    <row r="79" spans="1:17" ht="17" customHeight="1" x14ac:dyDescent="0.2">
      <c r="A79" s="9" t="s">
        <v>351</v>
      </c>
      <c r="B79" s="197" t="s">
        <v>1360</v>
      </c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9"/>
    </row>
    <row r="80" spans="1:17" ht="85" x14ac:dyDescent="0.2">
      <c r="A80" s="16" t="s">
        <v>352</v>
      </c>
      <c r="B80" s="132" t="s">
        <v>353</v>
      </c>
      <c r="C80" s="47"/>
      <c r="D80" s="47" t="s">
        <v>354</v>
      </c>
      <c r="E80" s="20" t="s">
        <v>70</v>
      </c>
      <c r="F80" s="14"/>
      <c r="G80" s="20" t="s">
        <v>355</v>
      </c>
      <c r="H80" s="14"/>
      <c r="I80" s="10"/>
      <c r="J80" s="38" t="s">
        <v>859</v>
      </c>
      <c r="K80" s="33"/>
      <c r="L80" s="187"/>
      <c r="M80" s="187"/>
      <c r="N80" s="187"/>
      <c r="O80" s="187"/>
      <c r="P80" s="187"/>
      <c r="Q80" s="187"/>
    </row>
    <row r="81" spans="1:17" ht="51" x14ac:dyDescent="0.2">
      <c r="A81" s="16" t="s">
        <v>356</v>
      </c>
      <c r="B81" s="131" t="s">
        <v>362</v>
      </c>
      <c r="C81" s="24"/>
      <c r="D81" s="24" t="s">
        <v>363</v>
      </c>
      <c r="E81" s="20" t="s">
        <v>364</v>
      </c>
      <c r="F81" s="14" t="s">
        <v>148</v>
      </c>
      <c r="G81" s="20" t="s">
        <v>365</v>
      </c>
      <c r="H81" s="14"/>
      <c r="I81" s="10"/>
      <c r="J81" s="38" t="s">
        <v>860</v>
      </c>
      <c r="K81" s="33"/>
      <c r="L81" s="187"/>
      <c r="M81" s="187"/>
      <c r="N81" s="187"/>
      <c r="O81" s="187"/>
      <c r="P81" s="187"/>
      <c r="Q81" s="187"/>
    </row>
    <row r="82" spans="1:17" ht="153" x14ac:dyDescent="0.2">
      <c r="A82" s="16" t="s">
        <v>361</v>
      </c>
      <c r="B82" s="131" t="s">
        <v>367</v>
      </c>
      <c r="C82" s="15" t="s">
        <v>368</v>
      </c>
      <c r="D82" s="33"/>
      <c r="E82" s="20" t="s">
        <v>369</v>
      </c>
      <c r="F82" s="14" t="s">
        <v>370</v>
      </c>
      <c r="G82" s="20" t="s">
        <v>371</v>
      </c>
      <c r="H82" s="14"/>
      <c r="I82" s="10"/>
      <c r="J82" s="38" t="s">
        <v>863</v>
      </c>
      <c r="K82" s="33"/>
      <c r="L82" s="187"/>
      <c r="M82" s="187"/>
      <c r="N82" s="187"/>
      <c r="O82" s="187"/>
      <c r="P82" s="187"/>
      <c r="Q82" s="187"/>
    </row>
    <row r="83" spans="1:17" ht="68" x14ac:dyDescent="0.2">
      <c r="A83" s="16" t="s">
        <v>366</v>
      </c>
      <c r="B83" s="128" t="s">
        <v>379</v>
      </c>
      <c r="C83" s="15"/>
      <c r="D83" s="15" t="s">
        <v>380</v>
      </c>
      <c r="E83" s="20" t="s">
        <v>381</v>
      </c>
      <c r="F83" s="14" t="s">
        <v>382</v>
      </c>
      <c r="G83" s="20" t="s">
        <v>383</v>
      </c>
      <c r="H83" s="14"/>
      <c r="I83" s="10"/>
      <c r="J83" s="38" t="s">
        <v>863</v>
      </c>
      <c r="K83" s="33"/>
      <c r="L83" s="187"/>
      <c r="M83" s="187"/>
      <c r="N83" s="187"/>
      <c r="O83" s="187"/>
      <c r="P83" s="187"/>
      <c r="Q83" s="187"/>
    </row>
    <row r="84" spans="1:17" ht="68" x14ac:dyDescent="0.2">
      <c r="A84" s="16" t="s">
        <v>372</v>
      </c>
      <c r="B84" s="132" t="s">
        <v>384</v>
      </c>
      <c r="C84" s="31"/>
      <c r="D84" s="31" t="s">
        <v>385</v>
      </c>
      <c r="E84" s="20" t="s">
        <v>386</v>
      </c>
      <c r="F84" s="14" t="s">
        <v>387</v>
      </c>
      <c r="G84" s="20" t="s">
        <v>388</v>
      </c>
      <c r="H84" s="14"/>
      <c r="I84" s="10"/>
      <c r="J84" s="38" t="s">
        <v>863</v>
      </c>
      <c r="K84" s="33"/>
      <c r="L84" s="187"/>
      <c r="M84" s="187"/>
      <c r="N84" s="187"/>
      <c r="O84" s="187"/>
      <c r="P84" s="187"/>
      <c r="Q84" s="187"/>
    </row>
    <row r="85" spans="1:17" ht="68" x14ac:dyDescent="0.2">
      <c r="A85" s="16" t="s">
        <v>378</v>
      </c>
      <c r="B85" s="132" t="s">
        <v>389</v>
      </c>
      <c r="C85" s="40"/>
      <c r="D85" s="40" t="s">
        <v>390</v>
      </c>
      <c r="E85" s="20" t="s">
        <v>391</v>
      </c>
      <c r="F85" s="14"/>
      <c r="G85" s="20" t="s">
        <v>392</v>
      </c>
      <c r="H85" s="14"/>
      <c r="I85" s="10"/>
      <c r="J85" s="38" t="s">
        <v>863</v>
      </c>
      <c r="K85" s="33"/>
      <c r="L85" s="187"/>
      <c r="M85" s="187"/>
      <c r="N85" s="187"/>
      <c r="O85" s="187"/>
      <c r="P85" s="187"/>
      <c r="Q85" s="187"/>
    </row>
    <row r="86" spans="1:17" ht="16" customHeight="1" x14ac:dyDescent="0.2">
      <c r="A86" s="9">
        <v>2</v>
      </c>
      <c r="B86" s="197" t="s">
        <v>393</v>
      </c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9"/>
    </row>
    <row r="87" spans="1:17" ht="136" x14ac:dyDescent="0.2">
      <c r="A87" s="16" t="s">
        <v>394</v>
      </c>
      <c r="B87" s="128" t="s">
        <v>395</v>
      </c>
      <c r="C87" s="15" t="s">
        <v>396</v>
      </c>
      <c r="D87" s="21"/>
      <c r="E87" s="20" t="s">
        <v>397</v>
      </c>
      <c r="F87" s="14" t="s">
        <v>398</v>
      </c>
      <c r="G87" s="20" t="s">
        <v>399</v>
      </c>
      <c r="H87" s="14"/>
      <c r="I87" s="14"/>
      <c r="J87" s="14" t="s">
        <v>864</v>
      </c>
      <c r="K87" s="33"/>
      <c r="L87" s="187"/>
      <c r="M87" s="187"/>
      <c r="N87" s="187"/>
      <c r="O87" s="187"/>
      <c r="P87" s="187"/>
      <c r="Q87" s="187"/>
    </row>
    <row r="88" spans="1:17" ht="68" x14ac:dyDescent="0.2">
      <c r="A88" s="16" t="s">
        <v>400</v>
      </c>
      <c r="B88" s="128" t="s">
        <v>401</v>
      </c>
      <c r="C88" s="15" t="s">
        <v>402</v>
      </c>
      <c r="D88" s="33"/>
      <c r="E88" s="20" t="s">
        <v>403</v>
      </c>
      <c r="F88" s="20" t="s">
        <v>404</v>
      </c>
      <c r="G88" s="20" t="s">
        <v>405</v>
      </c>
      <c r="H88" s="14"/>
      <c r="I88" s="10"/>
      <c r="J88" s="14" t="s">
        <v>865</v>
      </c>
      <c r="K88" s="33"/>
      <c r="L88" s="187"/>
      <c r="M88" s="187"/>
      <c r="N88" s="187"/>
      <c r="O88" s="187"/>
      <c r="P88" s="187"/>
      <c r="Q88" s="187"/>
    </row>
    <row r="89" spans="1:17" ht="68" x14ac:dyDescent="0.2">
      <c r="A89" s="16" t="s">
        <v>406</v>
      </c>
      <c r="B89" s="131" t="s">
        <v>407</v>
      </c>
      <c r="C89" s="16" t="s">
        <v>408</v>
      </c>
      <c r="D89" s="33"/>
      <c r="E89" s="19" t="s">
        <v>282</v>
      </c>
      <c r="F89" s="19" t="s">
        <v>87</v>
      </c>
      <c r="G89" s="19" t="s">
        <v>409</v>
      </c>
      <c r="H89" s="14"/>
      <c r="I89" s="10"/>
      <c r="J89" s="14" t="s">
        <v>865</v>
      </c>
      <c r="K89" s="33"/>
      <c r="L89" s="187"/>
      <c r="M89" s="187"/>
      <c r="N89" s="187"/>
      <c r="O89" s="187"/>
      <c r="P89" s="187"/>
      <c r="Q89" s="187"/>
    </row>
    <row r="90" spans="1:17" ht="51" x14ac:dyDescent="0.2">
      <c r="A90" s="16" t="s">
        <v>589</v>
      </c>
      <c r="B90" s="132" t="s">
        <v>411</v>
      </c>
      <c r="C90" s="40" t="s">
        <v>412</v>
      </c>
      <c r="D90" s="33"/>
      <c r="E90" s="19" t="s">
        <v>413</v>
      </c>
      <c r="F90" s="14"/>
      <c r="G90" s="20" t="s">
        <v>124</v>
      </c>
      <c r="H90" s="14"/>
      <c r="I90" s="10"/>
      <c r="J90" s="14" t="s">
        <v>865</v>
      </c>
      <c r="K90" s="33"/>
      <c r="L90" s="187"/>
      <c r="M90" s="187"/>
      <c r="N90" s="187"/>
      <c r="O90" s="187"/>
      <c r="P90" s="187"/>
      <c r="Q90" s="187"/>
    </row>
    <row r="91" spans="1:17" ht="170" x14ac:dyDescent="0.2">
      <c r="A91" s="16" t="s">
        <v>410</v>
      </c>
      <c r="B91" s="131" t="s">
        <v>415</v>
      </c>
      <c r="C91" s="15"/>
      <c r="D91" s="15" t="s">
        <v>416</v>
      </c>
      <c r="E91" s="19" t="s">
        <v>417</v>
      </c>
      <c r="F91" s="14"/>
      <c r="G91" s="19" t="s">
        <v>87</v>
      </c>
      <c r="H91" s="14"/>
      <c r="I91" s="10"/>
      <c r="J91" s="14" t="s">
        <v>869</v>
      </c>
      <c r="K91" s="33"/>
      <c r="L91" s="187"/>
      <c r="M91" s="187"/>
      <c r="N91" s="187"/>
      <c r="O91" s="187"/>
      <c r="P91" s="187"/>
      <c r="Q91" s="187"/>
    </row>
    <row r="92" spans="1:17" ht="136" x14ac:dyDescent="0.2">
      <c r="A92" s="16" t="s">
        <v>414</v>
      </c>
      <c r="B92" s="131" t="s">
        <v>419</v>
      </c>
      <c r="C92" s="15"/>
      <c r="D92" s="15" t="s">
        <v>420</v>
      </c>
      <c r="E92" s="19" t="s">
        <v>421</v>
      </c>
      <c r="F92" s="19" t="s">
        <v>228</v>
      </c>
      <c r="G92" s="19" t="s">
        <v>138</v>
      </c>
      <c r="H92" s="14"/>
      <c r="I92" s="10"/>
      <c r="J92" s="14" t="s">
        <v>866</v>
      </c>
      <c r="K92" s="33"/>
      <c r="L92" s="187"/>
      <c r="M92" s="187"/>
      <c r="N92" s="187"/>
      <c r="O92" s="187"/>
      <c r="P92" s="187"/>
      <c r="Q92" s="187"/>
    </row>
    <row r="93" spans="1:17" ht="119" x14ac:dyDescent="0.2">
      <c r="A93" s="16" t="s">
        <v>418</v>
      </c>
      <c r="B93" s="131" t="s">
        <v>423</v>
      </c>
      <c r="C93" s="16"/>
      <c r="D93" s="16" t="s">
        <v>424</v>
      </c>
      <c r="E93" s="19" t="s">
        <v>425</v>
      </c>
      <c r="F93" s="19"/>
      <c r="G93" s="19" t="s">
        <v>87</v>
      </c>
      <c r="H93" s="14"/>
      <c r="I93" s="10"/>
      <c r="J93" s="14" t="s">
        <v>863</v>
      </c>
      <c r="K93" s="33"/>
      <c r="L93" s="187"/>
      <c r="M93" s="187"/>
      <c r="N93" s="187"/>
      <c r="O93" s="187"/>
      <c r="P93" s="187"/>
      <c r="Q93" s="187"/>
    </row>
    <row r="94" spans="1:17" ht="102" x14ac:dyDescent="0.2">
      <c r="A94" s="16" t="s">
        <v>422</v>
      </c>
      <c r="B94" s="131" t="s">
        <v>427</v>
      </c>
      <c r="C94" s="16"/>
      <c r="D94" s="16" t="s">
        <v>428</v>
      </c>
      <c r="E94" s="19" t="s">
        <v>429</v>
      </c>
      <c r="F94" s="14"/>
      <c r="G94" s="19" t="s">
        <v>168</v>
      </c>
      <c r="H94" s="14"/>
      <c r="I94" s="10"/>
      <c r="J94" s="14" t="s">
        <v>863</v>
      </c>
      <c r="K94" s="33"/>
      <c r="L94" s="187"/>
      <c r="M94" s="187"/>
      <c r="N94" s="187"/>
      <c r="O94" s="187"/>
      <c r="P94" s="187"/>
      <c r="Q94" s="187"/>
    </row>
    <row r="95" spans="1:17" ht="68" x14ac:dyDescent="0.2">
      <c r="A95" s="16" t="s">
        <v>426</v>
      </c>
      <c r="B95" s="128" t="s">
        <v>431</v>
      </c>
      <c r="C95" s="40"/>
      <c r="D95" s="40" t="s">
        <v>432</v>
      </c>
      <c r="E95" s="48" t="s">
        <v>433</v>
      </c>
      <c r="F95" s="14"/>
      <c r="G95" s="20" t="s">
        <v>77</v>
      </c>
      <c r="H95" s="14"/>
      <c r="I95" s="10"/>
      <c r="J95" s="14" t="s">
        <v>863</v>
      </c>
      <c r="K95" s="33"/>
      <c r="L95" s="187"/>
      <c r="M95" s="187"/>
      <c r="N95" s="187"/>
      <c r="O95" s="187"/>
      <c r="P95" s="187"/>
      <c r="Q95" s="187"/>
    </row>
    <row r="96" spans="1:17" ht="153" x14ac:dyDescent="0.2">
      <c r="A96" s="16" t="s">
        <v>430</v>
      </c>
      <c r="B96" s="128" t="s">
        <v>435</v>
      </c>
      <c r="C96" s="15" t="s">
        <v>436</v>
      </c>
      <c r="D96" s="33"/>
      <c r="E96" s="20" t="s">
        <v>437</v>
      </c>
      <c r="F96" s="14"/>
      <c r="G96" s="20" t="s">
        <v>438</v>
      </c>
      <c r="H96" s="14"/>
      <c r="I96" s="10"/>
      <c r="J96" s="14" t="s">
        <v>868</v>
      </c>
      <c r="K96" s="33"/>
      <c r="L96" s="187"/>
      <c r="M96" s="187"/>
      <c r="N96" s="187"/>
      <c r="O96" s="187"/>
      <c r="P96" s="187"/>
      <c r="Q96" s="187"/>
    </row>
    <row r="97" spans="1:17" ht="51" x14ac:dyDescent="0.2">
      <c r="A97" s="16" t="s">
        <v>434</v>
      </c>
      <c r="B97" s="128" t="s">
        <v>440</v>
      </c>
      <c r="C97" s="15" t="s">
        <v>441</v>
      </c>
      <c r="D97" s="33"/>
      <c r="E97" s="20" t="s">
        <v>442</v>
      </c>
      <c r="F97" s="14"/>
      <c r="G97" s="20" t="s">
        <v>443</v>
      </c>
      <c r="H97" s="14"/>
      <c r="I97" s="10"/>
      <c r="J97" s="14" t="s">
        <v>863</v>
      </c>
      <c r="K97" s="33"/>
      <c r="L97" s="187"/>
      <c r="M97" s="187"/>
      <c r="N97" s="187"/>
      <c r="O97" s="187"/>
      <c r="P97" s="187"/>
      <c r="Q97" s="187"/>
    </row>
    <row r="98" spans="1:17" ht="51" x14ac:dyDescent="0.2">
      <c r="A98" s="16" t="s">
        <v>439</v>
      </c>
      <c r="B98" s="131" t="s">
        <v>445</v>
      </c>
      <c r="C98" s="15"/>
      <c r="D98" s="15" t="s">
        <v>446</v>
      </c>
      <c r="E98" s="19" t="s">
        <v>447</v>
      </c>
      <c r="F98" s="19" t="s">
        <v>244</v>
      </c>
      <c r="G98" s="19" t="s">
        <v>448</v>
      </c>
      <c r="H98" s="14"/>
      <c r="I98" s="10"/>
      <c r="J98" s="14" t="s">
        <v>863</v>
      </c>
      <c r="K98" s="33"/>
      <c r="L98" s="187"/>
      <c r="M98" s="187"/>
      <c r="N98" s="187"/>
      <c r="O98" s="187"/>
      <c r="P98" s="187"/>
      <c r="Q98" s="187"/>
    </row>
    <row r="99" spans="1:17" ht="153" x14ac:dyDescent="0.2">
      <c r="A99" s="16" t="s">
        <v>444</v>
      </c>
      <c r="B99" s="131" t="s">
        <v>450</v>
      </c>
      <c r="C99" s="16"/>
      <c r="D99" s="16" t="s">
        <v>451</v>
      </c>
      <c r="E99" s="19" t="s">
        <v>452</v>
      </c>
      <c r="F99" s="14"/>
      <c r="G99" s="19" t="s">
        <v>453</v>
      </c>
      <c r="H99" s="14"/>
      <c r="I99" s="10"/>
      <c r="J99" s="14" t="s">
        <v>863</v>
      </c>
      <c r="K99" s="33"/>
      <c r="L99" s="187"/>
      <c r="M99" s="187"/>
      <c r="N99" s="187"/>
      <c r="O99" s="187"/>
      <c r="P99" s="187"/>
      <c r="Q99" s="187"/>
    </row>
    <row r="100" spans="1:17" ht="119" x14ac:dyDescent="0.2">
      <c r="A100" s="16" t="s">
        <v>449</v>
      </c>
      <c r="B100" s="131" t="s">
        <v>455</v>
      </c>
      <c r="C100" s="16" t="s">
        <v>456</v>
      </c>
      <c r="D100" s="33"/>
      <c r="E100" s="20" t="s">
        <v>457</v>
      </c>
      <c r="F100" s="20" t="s">
        <v>458</v>
      </c>
      <c r="G100" s="20" t="s">
        <v>459</v>
      </c>
      <c r="H100" s="14"/>
      <c r="I100" s="10"/>
      <c r="J100" s="14" t="s">
        <v>863</v>
      </c>
      <c r="K100" s="33"/>
      <c r="L100" s="187"/>
      <c r="M100" s="187"/>
      <c r="N100" s="187"/>
      <c r="O100" s="187"/>
      <c r="P100" s="187"/>
      <c r="Q100" s="187"/>
    </row>
    <row r="101" spans="1:17" ht="85" x14ac:dyDescent="0.2">
      <c r="A101" s="16" t="s">
        <v>454</v>
      </c>
      <c r="B101" s="128" t="s">
        <v>461</v>
      </c>
      <c r="C101" s="15" t="s">
        <v>462</v>
      </c>
      <c r="D101" s="33"/>
      <c r="E101" s="20" t="s">
        <v>463</v>
      </c>
      <c r="F101" s="14"/>
      <c r="G101" s="20" t="s">
        <v>464</v>
      </c>
      <c r="H101" s="14"/>
      <c r="I101" s="10"/>
      <c r="J101" s="14" t="s">
        <v>867</v>
      </c>
      <c r="K101" s="33"/>
      <c r="L101" s="187"/>
      <c r="M101" s="187"/>
      <c r="N101" s="187"/>
      <c r="O101" s="187"/>
      <c r="P101" s="187"/>
      <c r="Q101" s="187"/>
    </row>
    <row r="102" spans="1:17" ht="51" x14ac:dyDescent="0.2">
      <c r="A102" s="16" t="s">
        <v>460</v>
      </c>
      <c r="B102" s="128" t="s">
        <v>466</v>
      </c>
      <c r="C102" s="15" t="s">
        <v>467</v>
      </c>
      <c r="D102" s="33"/>
      <c r="E102" s="20" t="s">
        <v>468</v>
      </c>
      <c r="F102" s="14"/>
      <c r="G102" s="20" t="s">
        <v>469</v>
      </c>
      <c r="H102" s="14"/>
      <c r="I102" s="10"/>
      <c r="J102" s="14" t="s">
        <v>863</v>
      </c>
      <c r="K102" s="33"/>
      <c r="L102" s="187"/>
      <c r="M102" s="187"/>
      <c r="N102" s="187"/>
      <c r="O102" s="187"/>
      <c r="P102" s="187"/>
      <c r="Q102" s="187"/>
    </row>
    <row r="103" spans="1:17" ht="136" x14ac:dyDescent="0.2">
      <c r="A103" s="16" t="s">
        <v>465</v>
      </c>
      <c r="B103" s="132" t="s">
        <v>470</v>
      </c>
      <c r="C103" s="40" t="s">
        <v>471</v>
      </c>
      <c r="D103" s="33"/>
      <c r="E103" s="19" t="s">
        <v>472</v>
      </c>
      <c r="F103" s="14"/>
      <c r="G103" s="20" t="s">
        <v>473</v>
      </c>
      <c r="H103" s="14"/>
      <c r="I103" s="10"/>
      <c r="J103" s="14" t="s">
        <v>863</v>
      </c>
      <c r="K103" s="33"/>
      <c r="L103" s="187"/>
      <c r="M103" s="187"/>
      <c r="N103" s="187"/>
      <c r="O103" s="187"/>
      <c r="P103" s="187"/>
      <c r="Q103" s="187"/>
    </row>
    <row r="104" spans="1:17" ht="17" x14ac:dyDescent="0.2">
      <c r="A104" s="191" t="s">
        <v>790</v>
      </c>
      <c r="B104" s="194" t="s">
        <v>791</v>
      </c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6"/>
    </row>
    <row r="105" spans="1:17" x14ac:dyDescent="0.2">
      <c r="A105" s="9">
        <v>1</v>
      </c>
      <c r="B105" s="197" t="s">
        <v>955</v>
      </c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9"/>
    </row>
    <row r="106" spans="1:17" ht="102" x14ac:dyDescent="0.2">
      <c r="A106" s="16" t="s">
        <v>16</v>
      </c>
      <c r="B106" s="20" t="s">
        <v>792</v>
      </c>
      <c r="C106" s="55" t="s">
        <v>793</v>
      </c>
      <c r="D106" s="33"/>
      <c r="E106" s="20" t="s">
        <v>794</v>
      </c>
      <c r="F106" s="14"/>
      <c r="G106" s="14"/>
      <c r="H106" s="14"/>
      <c r="I106" s="20" t="s">
        <v>795</v>
      </c>
      <c r="J106" s="14" t="s">
        <v>795</v>
      </c>
      <c r="K106" s="33"/>
      <c r="L106" s="187"/>
      <c r="M106" s="187"/>
      <c r="N106" s="187"/>
      <c r="O106" s="187"/>
      <c r="P106" s="187"/>
      <c r="Q106" s="187"/>
    </row>
    <row r="107" spans="1:17" ht="102" x14ac:dyDescent="0.2">
      <c r="A107" s="16" t="s">
        <v>50</v>
      </c>
      <c r="B107" s="20" t="s">
        <v>796</v>
      </c>
      <c r="C107" s="24" t="s">
        <v>797</v>
      </c>
      <c r="D107" s="33"/>
      <c r="E107" s="20" t="s">
        <v>798</v>
      </c>
      <c r="F107" s="14"/>
      <c r="G107" s="14"/>
      <c r="H107" s="14"/>
      <c r="I107" s="20" t="s">
        <v>795</v>
      </c>
      <c r="J107" s="14" t="s">
        <v>795</v>
      </c>
      <c r="K107" s="33"/>
      <c r="L107" s="187"/>
      <c r="M107" s="187"/>
      <c r="N107" s="187"/>
      <c r="O107" s="187"/>
      <c r="P107" s="187"/>
      <c r="Q107" s="187"/>
    </row>
    <row r="108" spans="1:17" ht="51" x14ac:dyDescent="0.2">
      <c r="A108" s="16" t="s">
        <v>113</v>
      </c>
      <c r="B108" s="60" t="s">
        <v>799</v>
      </c>
      <c r="C108" s="61" t="s">
        <v>800</v>
      </c>
      <c r="D108" s="33"/>
      <c r="E108" s="20" t="s">
        <v>542</v>
      </c>
      <c r="F108" s="14"/>
      <c r="G108" s="20" t="s">
        <v>77</v>
      </c>
      <c r="H108" s="14"/>
      <c r="I108" s="10"/>
      <c r="J108" s="14" t="s">
        <v>795</v>
      </c>
      <c r="K108" s="33"/>
      <c r="L108" s="187"/>
      <c r="M108" s="187"/>
      <c r="N108" s="187"/>
      <c r="O108" s="187"/>
      <c r="P108" s="187"/>
      <c r="Q108" s="187"/>
    </row>
    <row r="109" spans="1:17" ht="153" x14ac:dyDescent="0.2">
      <c r="A109" s="16" t="s">
        <v>155</v>
      </c>
      <c r="B109" s="36" t="s">
        <v>801</v>
      </c>
      <c r="C109" s="192"/>
      <c r="D109" s="192" t="s">
        <v>802</v>
      </c>
      <c r="E109" s="20" t="s">
        <v>803</v>
      </c>
      <c r="F109" s="14"/>
      <c r="G109" s="20" t="s">
        <v>804</v>
      </c>
      <c r="H109" s="14"/>
      <c r="I109" s="10"/>
      <c r="J109" s="14" t="s">
        <v>881</v>
      </c>
      <c r="K109" s="33"/>
      <c r="L109" s="187"/>
      <c r="M109" s="187"/>
      <c r="N109" s="187"/>
      <c r="O109" s="187"/>
      <c r="P109" s="187"/>
      <c r="Q109" s="187"/>
    </row>
    <row r="110" spans="1:17" ht="102" x14ac:dyDescent="0.2">
      <c r="A110" s="16" t="s">
        <v>212</v>
      </c>
      <c r="B110" s="36" t="s">
        <v>561</v>
      </c>
      <c r="C110" s="192"/>
      <c r="D110" s="192" t="s">
        <v>805</v>
      </c>
      <c r="E110" s="20" t="s">
        <v>806</v>
      </c>
      <c r="F110" s="14"/>
      <c r="G110" s="20" t="s">
        <v>138</v>
      </c>
      <c r="H110" s="14"/>
      <c r="I110" s="10"/>
      <c r="J110" s="14" t="s">
        <v>881</v>
      </c>
      <c r="K110" s="33"/>
      <c r="L110" s="187"/>
      <c r="M110" s="187"/>
      <c r="N110" s="187"/>
      <c r="O110" s="187"/>
      <c r="P110" s="187"/>
      <c r="Q110" s="187"/>
    </row>
    <row r="111" spans="1:17" ht="68" x14ac:dyDescent="0.2">
      <c r="A111" s="16" t="s">
        <v>267</v>
      </c>
      <c r="B111" s="60" t="s">
        <v>807</v>
      </c>
      <c r="C111" s="61"/>
      <c r="D111" s="61" t="s">
        <v>808</v>
      </c>
      <c r="E111" s="20" t="s">
        <v>809</v>
      </c>
      <c r="F111" s="14"/>
      <c r="G111" s="20" t="s">
        <v>810</v>
      </c>
      <c r="H111" s="14"/>
      <c r="I111" s="10"/>
      <c r="J111" s="14" t="s">
        <v>881</v>
      </c>
      <c r="K111" s="33"/>
      <c r="L111" s="187"/>
      <c r="M111" s="187"/>
      <c r="N111" s="187"/>
      <c r="O111" s="187"/>
      <c r="P111" s="187"/>
      <c r="Q111" s="187"/>
    </row>
    <row r="112" spans="1:17" x14ac:dyDescent="0.2">
      <c r="A112" s="193">
        <v>2</v>
      </c>
      <c r="B112" s="134" t="s">
        <v>954</v>
      </c>
      <c r="C112" s="134"/>
      <c r="D112" s="134"/>
      <c r="E112" s="134"/>
      <c r="F112" s="134"/>
      <c r="G112" s="134"/>
      <c r="H112" s="134"/>
      <c r="I112" s="134"/>
      <c r="J112" s="134"/>
      <c r="K112" s="134"/>
      <c r="L112" s="187"/>
      <c r="M112" s="187"/>
      <c r="N112" s="187"/>
      <c r="O112" s="187"/>
      <c r="P112" s="187"/>
      <c r="Q112" s="187"/>
    </row>
    <row r="113" spans="1:17" ht="153" x14ac:dyDescent="0.2">
      <c r="A113" s="16" t="s">
        <v>394</v>
      </c>
      <c r="B113" s="36" t="s">
        <v>843</v>
      </c>
      <c r="C113" s="36"/>
      <c r="D113" s="36" t="s">
        <v>844</v>
      </c>
      <c r="E113" s="20" t="s">
        <v>845</v>
      </c>
      <c r="F113" s="14"/>
      <c r="G113" s="20" t="s">
        <v>87</v>
      </c>
      <c r="H113" s="14"/>
      <c r="I113" s="10"/>
      <c r="J113" s="46" t="s">
        <v>883</v>
      </c>
      <c r="K113" s="21"/>
      <c r="L113" s="187"/>
      <c r="M113" s="187"/>
      <c r="N113" s="187"/>
      <c r="O113" s="187"/>
      <c r="P113" s="187"/>
      <c r="Q113" s="187"/>
    </row>
    <row r="172" ht="16" customHeight="1" x14ac:dyDescent="0.2"/>
    <row r="188" ht="17" customHeight="1" x14ac:dyDescent="0.2"/>
    <row r="189" ht="16" customHeight="1" x14ac:dyDescent="0.2"/>
  </sheetData>
  <mergeCells count="24">
    <mergeCell ref="N1:O3"/>
    <mergeCell ref="P1:Q3"/>
    <mergeCell ref="B104:Q104"/>
    <mergeCell ref="B105:Q105"/>
    <mergeCell ref="B86:Q86"/>
    <mergeCell ref="B79:Q79"/>
    <mergeCell ref="B73:Q73"/>
    <mergeCell ref="B60:Q60"/>
    <mergeCell ref="B112:K112"/>
    <mergeCell ref="L1:M3"/>
    <mergeCell ref="B49:Q49"/>
    <mergeCell ref="B38:Q38"/>
    <mergeCell ref="B28:Q28"/>
    <mergeCell ref="B13:Q13"/>
    <mergeCell ref="K1:K2"/>
    <mergeCell ref="B5:Q5"/>
    <mergeCell ref="B6:Q6"/>
    <mergeCell ref="B4:K4"/>
    <mergeCell ref="A1:A2"/>
    <mergeCell ref="B1:B2"/>
    <mergeCell ref="C1:D1"/>
    <mergeCell ref="E1:E2"/>
    <mergeCell ref="F1:I1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02B6-7E3E-400F-8538-6A4989777732}">
  <dimension ref="A1:O284"/>
  <sheetViews>
    <sheetView topLeftCell="A145" zoomScale="55" zoomScaleNormal="55" workbookViewId="0">
      <selection activeCell="Z121" sqref="Z121"/>
    </sheetView>
  </sheetViews>
  <sheetFormatPr baseColWidth="10" defaultColWidth="8" defaultRowHeight="14" x14ac:dyDescent="0.15"/>
  <cols>
    <col min="1" max="1" width="5.83203125" style="72" customWidth="1"/>
    <col min="2" max="2" width="21.1640625" style="70" customWidth="1"/>
    <col min="3" max="3" width="11.1640625" style="70" customWidth="1"/>
    <col min="4" max="4" width="10.5" style="70" customWidth="1"/>
    <col min="5" max="5" width="16.5" style="73" customWidth="1"/>
    <col min="6" max="6" width="9.6640625" style="73" customWidth="1"/>
    <col min="7" max="7" width="10.1640625" style="73" customWidth="1"/>
    <col min="8" max="8" width="8.6640625" style="73" customWidth="1"/>
    <col min="9" max="9" width="8.5" style="73" customWidth="1"/>
    <col min="10" max="10" width="33.33203125" style="73" customWidth="1"/>
    <col min="11" max="11" width="12.33203125" style="70" customWidth="1"/>
    <col min="12" max="16384" width="8" style="70"/>
  </cols>
  <sheetData>
    <row r="1" spans="1:11" x14ac:dyDescent="0.15">
      <c r="A1" s="158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pans="1:11" ht="30.75" customHeight="1" x14ac:dyDescent="0.15">
      <c r="A2" s="159" t="s">
        <v>963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</row>
    <row r="3" spans="1:11" ht="9.75" customHeight="1" x14ac:dyDescent="0.15"/>
    <row r="4" spans="1:11" s="25" customFormat="1" ht="29.25" customHeight="1" x14ac:dyDescent="0.15">
      <c r="A4" s="160" t="s">
        <v>1</v>
      </c>
      <c r="B4" s="160" t="s">
        <v>2</v>
      </c>
      <c r="C4" s="161" t="s">
        <v>3</v>
      </c>
      <c r="D4" s="162"/>
      <c r="E4" s="160" t="s">
        <v>4</v>
      </c>
      <c r="F4" s="160" t="s">
        <v>5</v>
      </c>
      <c r="G4" s="160"/>
      <c r="H4" s="160"/>
      <c r="I4" s="160"/>
      <c r="J4" s="163" t="s">
        <v>964</v>
      </c>
      <c r="K4" s="160" t="s">
        <v>6</v>
      </c>
    </row>
    <row r="5" spans="1:11" ht="34.5" customHeight="1" x14ac:dyDescent="0.15">
      <c r="A5" s="160"/>
      <c r="B5" s="160"/>
      <c r="C5" s="89" t="s">
        <v>7</v>
      </c>
      <c r="D5" s="89" t="s">
        <v>8</v>
      </c>
      <c r="E5" s="160"/>
      <c r="F5" s="90" t="s">
        <v>9</v>
      </c>
      <c r="G5" s="90" t="s">
        <v>10</v>
      </c>
      <c r="H5" s="90" t="s">
        <v>11</v>
      </c>
      <c r="I5" s="90" t="s">
        <v>12</v>
      </c>
      <c r="J5" s="164"/>
      <c r="K5" s="160"/>
    </row>
    <row r="6" spans="1:11" s="91" customFormat="1" ht="22.5" customHeight="1" x14ac:dyDescent="0.1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</row>
    <row r="7" spans="1:11" s="11" customFormat="1" ht="21.75" customHeight="1" x14ac:dyDescent="0.15">
      <c r="A7" s="9" t="s">
        <v>13</v>
      </c>
      <c r="B7" s="10" t="s">
        <v>1350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s="11" customFormat="1" ht="85" x14ac:dyDescent="0.15">
      <c r="A8" s="16" t="s">
        <v>1362</v>
      </c>
      <c r="B8" s="14" t="s">
        <v>18</v>
      </c>
      <c r="C8" s="15" t="s">
        <v>19</v>
      </c>
      <c r="D8" s="16"/>
      <c r="E8" s="14" t="s">
        <v>20</v>
      </c>
      <c r="F8" s="14" t="s">
        <v>21</v>
      </c>
      <c r="G8" s="14" t="s">
        <v>22</v>
      </c>
      <c r="H8" s="17"/>
      <c r="I8" s="14"/>
      <c r="J8" s="14" t="s">
        <v>853</v>
      </c>
      <c r="K8" s="10"/>
    </row>
    <row r="9" spans="1:11" s="11" customFormat="1" ht="85" x14ac:dyDescent="0.15">
      <c r="A9" s="16" t="s">
        <v>1363</v>
      </c>
      <c r="B9" s="17" t="s">
        <v>24</v>
      </c>
      <c r="C9" s="18" t="s">
        <v>25</v>
      </c>
      <c r="D9" s="13"/>
      <c r="E9" s="19" t="s">
        <v>26</v>
      </c>
      <c r="F9" s="20" t="s">
        <v>27</v>
      </c>
      <c r="G9" s="19" t="s">
        <v>28</v>
      </c>
      <c r="H9" s="17"/>
      <c r="I9" s="10"/>
      <c r="J9" s="14" t="s">
        <v>854</v>
      </c>
      <c r="K9" s="10"/>
    </row>
    <row r="10" spans="1:11" s="11" customFormat="1" ht="108" x14ac:dyDescent="0.2">
      <c r="A10" s="16" t="s">
        <v>1364</v>
      </c>
      <c r="B10" s="21" t="s">
        <v>30</v>
      </c>
      <c r="C10" s="16"/>
      <c r="D10" s="15">
        <v>29148</v>
      </c>
      <c r="E10" s="74" t="s">
        <v>31</v>
      </c>
      <c r="F10" s="14"/>
      <c r="G10" s="14" t="s">
        <v>32</v>
      </c>
      <c r="H10" s="17"/>
      <c r="I10" s="10"/>
      <c r="J10" s="14" t="s">
        <v>1351</v>
      </c>
      <c r="K10" s="10"/>
    </row>
    <row r="11" spans="1:11" s="11" customFormat="1" ht="119" x14ac:dyDescent="0.15">
      <c r="A11" s="16" t="s">
        <v>1365</v>
      </c>
      <c r="B11" s="23" t="s">
        <v>34</v>
      </c>
      <c r="C11" s="24" t="s">
        <v>35</v>
      </c>
      <c r="D11" s="29"/>
      <c r="E11" s="20"/>
      <c r="F11" s="20" t="s">
        <v>36</v>
      </c>
      <c r="G11" s="20" t="s">
        <v>37</v>
      </c>
      <c r="H11" s="26"/>
      <c r="I11" s="27"/>
      <c r="J11" s="14" t="s">
        <v>854</v>
      </c>
      <c r="K11" s="10"/>
    </row>
    <row r="12" spans="1:11" s="11" customFormat="1" ht="126" x14ac:dyDescent="0.2">
      <c r="A12" s="16" t="s">
        <v>1366</v>
      </c>
      <c r="B12" s="23" t="s">
        <v>39</v>
      </c>
      <c r="C12" s="24" t="s">
        <v>40</v>
      </c>
      <c r="D12" s="29"/>
      <c r="E12" s="74" t="s">
        <v>41</v>
      </c>
      <c r="F12" s="20" t="s">
        <v>42</v>
      </c>
      <c r="G12" s="20" t="s">
        <v>43</v>
      </c>
      <c r="H12" s="26"/>
      <c r="I12" s="27"/>
      <c r="J12" s="14" t="s">
        <v>854</v>
      </c>
      <c r="K12" s="10"/>
    </row>
    <row r="13" spans="1:11" s="11" customFormat="1" ht="136" x14ac:dyDescent="0.15">
      <c r="A13" s="16" t="s">
        <v>1367</v>
      </c>
      <c r="B13" s="30" t="s">
        <v>45</v>
      </c>
      <c r="C13" s="15" t="s">
        <v>46</v>
      </c>
      <c r="D13" s="31"/>
      <c r="E13" s="20" t="s">
        <v>47</v>
      </c>
      <c r="F13" s="14" t="s">
        <v>48</v>
      </c>
      <c r="G13" s="20" t="s">
        <v>49</v>
      </c>
      <c r="H13" s="17"/>
      <c r="I13" s="10"/>
      <c r="J13" s="14" t="s">
        <v>854</v>
      </c>
      <c r="K13" s="114"/>
    </row>
    <row r="14" spans="1:11" s="4" customFormat="1" ht="27.75" customHeight="1" x14ac:dyDescent="0.15">
      <c r="A14" s="9">
        <v>1</v>
      </c>
      <c r="B14" s="152" t="s">
        <v>15</v>
      </c>
      <c r="C14" s="153"/>
      <c r="D14" s="153"/>
      <c r="E14" s="153"/>
      <c r="F14" s="153"/>
      <c r="G14" s="153"/>
      <c r="H14" s="153"/>
      <c r="I14" s="153"/>
      <c r="J14" s="153"/>
      <c r="K14" s="154"/>
    </row>
    <row r="15" spans="1:11" s="4" customFormat="1" ht="18.75" customHeight="1" x14ac:dyDescent="0.15">
      <c r="A15" s="12" t="s">
        <v>16</v>
      </c>
      <c r="B15" s="152" t="s">
        <v>1349</v>
      </c>
      <c r="C15" s="153"/>
      <c r="D15" s="153"/>
      <c r="E15" s="153"/>
      <c r="F15" s="153"/>
      <c r="G15" s="153"/>
      <c r="H15" s="153"/>
      <c r="I15" s="153"/>
      <c r="J15" s="153"/>
      <c r="K15" s="154"/>
    </row>
    <row r="16" spans="1:11" s="4" customFormat="1" ht="68" x14ac:dyDescent="0.15">
      <c r="A16" s="13" t="s">
        <v>17</v>
      </c>
      <c r="B16" s="14" t="s">
        <v>52</v>
      </c>
      <c r="C16" s="32"/>
      <c r="D16" s="16" t="s">
        <v>53</v>
      </c>
      <c r="E16" s="20" t="s">
        <v>54</v>
      </c>
      <c r="F16" s="14" t="s">
        <v>55</v>
      </c>
      <c r="G16" s="20" t="s">
        <v>56</v>
      </c>
      <c r="H16" s="17"/>
      <c r="I16" s="14"/>
      <c r="J16" s="14" t="s">
        <v>965</v>
      </c>
      <c r="K16" s="33"/>
    </row>
    <row r="17" spans="1:11" s="4" customFormat="1" ht="85" x14ac:dyDescent="0.15">
      <c r="A17" s="13" t="s">
        <v>23</v>
      </c>
      <c r="B17" s="17" t="s">
        <v>58</v>
      </c>
      <c r="C17" s="13"/>
      <c r="D17" s="13" t="s">
        <v>59</v>
      </c>
      <c r="E17" s="19" t="s">
        <v>60</v>
      </c>
      <c r="F17" s="20" t="s">
        <v>966</v>
      </c>
      <c r="G17" s="19" t="s">
        <v>61</v>
      </c>
      <c r="H17" s="17"/>
      <c r="I17" s="10"/>
      <c r="J17" s="14" t="s">
        <v>967</v>
      </c>
      <c r="K17" s="33"/>
    </row>
    <row r="18" spans="1:11" s="4" customFormat="1" ht="68" x14ac:dyDescent="0.15">
      <c r="A18" s="13" t="s">
        <v>29</v>
      </c>
      <c r="B18" s="21" t="s">
        <v>63</v>
      </c>
      <c r="C18" s="16"/>
      <c r="D18" s="16" t="s">
        <v>64</v>
      </c>
      <c r="E18" s="20" t="s">
        <v>65</v>
      </c>
      <c r="F18" s="14"/>
      <c r="G18" s="14" t="s">
        <v>66</v>
      </c>
      <c r="H18" s="17"/>
      <c r="I18" s="10"/>
      <c r="J18" s="14" t="s">
        <v>968</v>
      </c>
      <c r="K18" s="33"/>
    </row>
    <row r="19" spans="1:11" s="4" customFormat="1" ht="85" x14ac:dyDescent="0.15">
      <c r="A19" s="13" t="s">
        <v>33</v>
      </c>
      <c r="B19" s="21" t="s">
        <v>969</v>
      </c>
      <c r="C19" s="32" t="s">
        <v>970</v>
      </c>
      <c r="D19" s="33"/>
      <c r="E19" s="14" t="s">
        <v>971</v>
      </c>
      <c r="F19" s="14"/>
      <c r="G19" s="14" t="s">
        <v>32</v>
      </c>
      <c r="H19" s="17"/>
      <c r="I19" s="10"/>
      <c r="J19" s="14" t="s">
        <v>972</v>
      </c>
      <c r="K19" s="33" t="s">
        <v>973</v>
      </c>
    </row>
    <row r="20" spans="1:11" s="4" customFormat="1" ht="68" x14ac:dyDescent="0.15">
      <c r="A20" s="13" t="s">
        <v>38</v>
      </c>
      <c r="B20" s="30" t="s">
        <v>68</v>
      </c>
      <c r="C20" s="31"/>
      <c r="D20" s="31" t="s">
        <v>69</v>
      </c>
      <c r="E20" s="20" t="s">
        <v>70</v>
      </c>
      <c r="F20" s="14" t="s">
        <v>71</v>
      </c>
      <c r="G20" s="92" t="s">
        <v>72</v>
      </c>
      <c r="H20" s="17"/>
      <c r="I20" s="10"/>
      <c r="J20" s="14" t="s">
        <v>974</v>
      </c>
      <c r="K20" s="33"/>
    </row>
    <row r="21" spans="1:11" s="4" customFormat="1" ht="51" x14ac:dyDescent="0.15">
      <c r="A21" s="13" t="s">
        <v>44</v>
      </c>
      <c r="B21" s="21" t="s">
        <v>975</v>
      </c>
      <c r="C21" s="16"/>
      <c r="D21" s="16" t="s">
        <v>976</v>
      </c>
      <c r="E21" s="14" t="s">
        <v>977</v>
      </c>
      <c r="F21" s="14"/>
      <c r="G21" s="14" t="s">
        <v>32</v>
      </c>
      <c r="H21" s="17"/>
      <c r="I21" s="10"/>
      <c r="J21" s="14" t="s">
        <v>978</v>
      </c>
      <c r="K21" s="33" t="s">
        <v>973</v>
      </c>
    </row>
    <row r="22" spans="1:11" s="4" customFormat="1" ht="68" x14ac:dyDescent="0.15">
      <c r="A22" s="13" t="s">
        <v>979</v>
      </c>
      <c r="B22" s="21" t="s">
        <v>74</v>
      </c>
      <c r="C22" s="15"/>
      <c r="D22" s="15" t="s">
        <v>75</v>
      </c>
      <c r="E22" s="20" t="s">
        <v>76</v>
      </c>
      <c r="F22" s="14"/>
      <c r="G22" s="20" t="s">
        <v>77</v>
      </c>
      <c r="H22" s="17"/>
      <c r="I22" s="10"/>
      <c r="J22" s="14" t="s">
        <v>980</v>
      </c>
      <c r="K22" s="33"/>
    </row>
    <row r="23" spans="1:11" s="4" customFormat="1" ht="85" x14ac:dyDescent="0.15">
      <c r="A23" s="13" t="s">
        <v>981</v>
      </c>
      <c r="B23" s="21" t="s">
        <v>79</v>
      </c>
      <c r="C23" s="31"/>
      <c r="D23" s="31">
        <v>30956</v>
      </c>
      <c r="E23" s="20" t="s">
        <v>80</v>
      </c>
      <c r="F23" s="14" t="s">
        <v>81</v>
      </c>
      <c r="G23" s="20" t="s">
        <v>82</v>
      </c>
      <c r="H23" s="17"/>
      <c r="I23" s="10"/>
      <c r="J23" s="14" t="s">
        <v>982</v>
      </c>
      <c r="K23" s="33"/>
    </row>
    <row r="24" spans="1:11" s="4" customFormat="1" ht="51" x14ac:dyDescent="0.15">
      <c r="A24" s="13" t="s">
        <v>983</v>
      </c>
      <c r="B24" s="21" t="s">
        <v>984</v>
      </c>
      <c r="C24" s="16" t="s">
        <v>59</v>
      </c>
      <c r="D24" s="33"/>
      <c r="E24" s="14" t="s">
        <v>985</v>
      </c>
      <c r="F24" s="14" t="s">
        <v>249</v>
      </c>
      <c r="G24" s="14" t="s">
        <v>250</v>
      </c>
      <c r="H24" s="17"/>
      <c r="I24" s="10"/>
      <c r="J24" s="14" t="s">
        <v>982</v>
      </c>
      <c r="K24" s="33" t="s">
        <v>973</v>
      </c>
    </row>
    <row r="25" spans="1:11" s="4" customFormat="1" ht="68" x14ac:dyDescent="0.15">
      <c r="A25" s="13" t="s">
        <v>986</v>
      </c>
      <c r="B25" s="21" t="s">
        <v>84</v>
      </c>
      <c r="C25" s="15" t="s">
        <v>85</v>
      </c>
      <c r="D25" s="33"/>
      <c r="E25" s="20" t="s">
        <v>86</v>
      </c>
      <c r="F25" s="14"/>
      <c r="G25" s="20" t="s">
        <v>87</v>
      </c>
      <c r="H25" s="17"/>
      <c r="I25" s="10"/>
      <c r="J25" s="14" t="s">
        <v>982</v>
      </c>
      <c r="K25" s="33"/>
    </row>
    <row r="26" spans="1:11" s="4" customFormat="1" ht="68" x14ac:dyDescent="0.15">
      <c r="A26" s="13" t="s">
        <v>987</v>
      </c>
      <c r="B26" s="21" t="s">
        <v>89</v>
      </c>
      <c r="C26" s="15"/>
      <c r="D26" s="15" t="s">
        <v>90</v>
      </c>
      <c r="E26" s="20" t="s">
        <v>91</v>
      </c>
      <c r="F26" s="14"/>
      <c r="G26" s="20" t="s">
        <v>92</v>
      </c>
      <c r="H26" s="17"/>
      <c r="I26" s="10"/>
      <c r="J26" s="14" t="s">
        <v>982</v>
      </c>
      <c r="K26" s="33"/>
    </row>
    <row r="27" spans="1:11" s="4" customFormat="1" ht="85" x14ac:dyDescent="0.15">
      <c r="A27" s="13" t="s">
        <v>988</v>
      </c>
      <c r="B27" s="21" t="s">
        <v>94</v>
      </c>
      <c r="C27" s="15" t="s">
        <v>95</v>
      </c>
      <c r="D27" s="33"/>
      <c r="E27" s="20" t="s">
        <v>96</v>
      </c>
      <c r="F27" s="14"/>
      <c r="G27" s="14" t="s">
        <v>97</v>
      </c>
      <c r="H27" s="17"/>
      <c r="I27" s="10"/>
      <c r="J27" s="14" t="s">
        <v>982</v>
      </c>
      <c r="K27" s="33"/>
    </row>
    <row r="28" spans="1:11" s="4" customFormat="1" ht="62.25" customHeight="1" x14ac:dyDescent="0.15">
      <c r="A28" s="13" t="s">
        <v>989</v>
      </c>
      <c r="B28" s="21" t="s">
        <v>990</v>
      </c>
      <c r="C28" s="16"/>
      <c r="D28" s="16" t="s">
        <v>991</v>
      </c>
      <c r="E28" s="14" t="s">
        <v>992</v>
      </c>
      <c r="F28" s="14" t="s">
        <v>148</v>
      </c>
      <c r="G28" s="14" t="s">
        <v>149</v>
      </c>
      <c r="H28" s="17"/>
      <c r="I28" s="10"/>
      <c r="J28" s="14" t="s">
        <v>978</v>
      </c>
      <c r="K28" s="33" t="s">
        <v>973</v>
      </c>
    </row>
    <row r="29" spans="1:11" s="4" customFormat="1" ht="34" x14ac:dyDescent="0.15">
      <c r="A29" s="13" t="s">
        <v>993</v>
      </c>
      <c r="B29" s="34" t="s">
        <v>99</v>
      </c>
      <c r="C29" s="35"/>
      <c r="D29" s="35" t="s">
        <v>100</v>
      </c>
      <c r="E29" s="19" t="s">
        <v>101</v>
      </c>
      <c r="F29" s="20"/>
      <c r="G29" s="19" t="s">
        <v>77</v>
      </c>
      <c r="H29" s="17"/>
      <c r="I29" s="10"/>
      <c r="J29" s="14" t="s">
        <v>994</v>
      </c>
      <c r="K29" s="33"/>
    </row>
    <row r="30" spans="1:11" s="4" customFormat="1" ht="102" x14ac:dyDescent="0.15">
      <c r="A30" s="13" t="s">
        <v>995</v>
      </c>
      <c r="B30" s="34" t="s">
        <v>108</v>
      </c>
      <c r="C30" s="35" t="s">
        <v>109</v>
      </c>
      <c r="D30" s="35"/>
      <c r="E30" s="17" t="s">
        <v>110</v>
      </c>
      <c r="F30" s="14" t="s">
        <v>111</v>
      </c>
      <c r="G30" s="36" t="s">
        <v>112</v>
      </c>
      <c r="H30" s="17"/>
      <c r="I30" s="10"/>
      <c r="J30" s="14" t="s">
        <v>994</v>
      </c>
      <c r="K30" s="33"/>
    </row>
    <row r="31" spans="1:11" s="4" customFormat="1" ht="31.5" customHeight="1" x14ac:dyDescent="0.15">
      <c r="A31" s="12">
        <v>1.2</v>
      </c>
      <c r="B31" s="152" t="s">
        <v>907</v>
      </c>
      <c r="C31" s="153"/>
      <c r="D31" s="153"/>
      <c r="E31" s="153"/>
      <c r="F31" s="153"/>
      <c r="G31" s="153"/>
      <c r="H31" s="153"/>
      <c r="I31" s="153"/>
      <c r="J31" s="153"/>
      <c r="K31" s="154"/>
    </row>
    <row r="32" spans="1:11" s="4" customFormat="1" ht="51" x14ac:dyDescent="0.15">
      <c r="A32" s="13" t="s">
        <v>51</v>
      </c>
      <c r="B32" s="17" t="s">
        <v>115</v>
      </c>
      <c r="C32" s="13"/>
      <c r="D32" s="13" t="s">
        <v>116</v>
      </c>
      <c r="E32" s="37" t="s">
        <v>117</v>
      </c>
      <c r="F32" s="23" t="s">
        <v>118</v>
      </c>
      <c r="G32" s="37" t="s">
        <v>77</v>
      </c>
      <c r="H32" s="17"/>
      <c r="I32" s="10"/>
      <c r="J32" s="14" t="s">
        <v>996</v>
      </c>
      <c r="K32" s="33"/>
    </row>
    <row r="33" spans="1:11" s="4" customFormat="1" ht="51" x14ac:dyDescent="0.15">
      <c r="A33" s="13" t="s">
        <v>57</v>
      </c>
      <c r="B33" s="21" t="s">
        <v>120</v>
      </c>
      <c r="C33" s="15"/>
      <c r="D33" s="15" t="s">
        <v>121</v>
      </c>
      <c r="E33" s="20" t="s">
        <v>122</v>
      </c>
      <c r="F33" s="14" t="s">
        <v>123</v>
      </c>
      <c r="G33" s="20" t="s">
        <v>124</v>
      </c>
      <c r="H33" s="17"/>
      <c r="I33" s="10"/>
      <c r="J33" s="14" t="s">
        <v>997</v>
      </c>
      <c r="K33" s="33"/>
    </row>
    <row r="34" spans="1:11" s="4" customFormat="1" ht="117.75" customHeight="1" x14ac:dyDescent="0.15">
      <c r="A34" s="13" t="s">
        <v>62</v>
      </c>
      <c r="B34" s="17" t="s">
        <v>126</v>
      </c>
      <c r="C34" s="13"/>
      <c r="D34" s="13" t="s">
        <v>127</v>
      </c>
      <c r="E34" s="14" t="s">
        <v>128</v>
      </c>
      <c r="F34" s="20" t="s">
        <v>129</v>
      </c>
      <c r="G34" s="19" t="s">
        <v>87</v>
      </c>
      <c r="H34" s="17"/>
      <c r="I34" s="10"/>
      <c r="J34" s="38" t="s">
        <v>998</v>
      </c>
      <c r="K34" s="33"/>
    </row>
    <row r="35" spans="1:11" s="4" customFormat="1" ht="53.25" customHeight="1" x14ac:dyDescent="0.15">
      <c r="A35" s="13" t="s">
        <v>67</v>
      </c>
      <c r="B35" s="34" t="s">
        <v>131</v>
      </c>
      <c r="C35" s="35"/>
      <c r="D35" s="35" t="s">
        <v>132</v>
      </c>
      <c r="E35" s="19" t="s">
        <v>133</v>
      </c>
      <c r="F35" s="14"/>
      <c r="G35" s="19" t="s">
        <v>77</v>
      </c>
      <c r="H35" s="17"/>
      <c r="I35" s="10"/>
      <c r="J35" s="14" t="s">
        <v>999</v>
      </c>
      <c r="K35" s="33"/>
    </row>
    <row r="36" spans="1:11" s="4" customFormat="1" ht="86.25" customHeight="1" x14ac:dyDescent="0.15">
      <c r="A36" s="13" t="s">
        <v>73</v>
      </c>
      <c r="B36" s="17" t="s">
        <v>135</v>
      </c>
      <c r="C36" s="13"/>
      <c r="D36" s="13" t="s">
        <v>136</v>
      </c>
      <c r="E36" s="19" t="s">
        <v>137</v>
      </c>
      <c r="F36" s="14"/>
      <c r="G36" s="19" t="s">
        <v>138</v>
      </c>
      <c r="H36" s="17"/>
      <c r="I36" s="10"/>
      <c r="J36" s="20" t="s">
        <v>1000</v>
      </c>
      <c r="K36" s="33"/>
    </row>
    <row r="37" spans="1:11" s="4" customFormat="1" ht="68" x14ac:dyDescent="0.15">
      <c r="A37" s="13" t="s">
        <v>78</v>
      </c>
      <c r="B37" s="21" t="s">
        <v>140</v>
      </c>
      <c r="C37" s="31" t="s">
        <v>141</v>
      </c>
      <c r="D37" s="33"/>
      <c r="E37" s="20" t="s">
        <v>142</v>
      </c>
      <c r="F37" s="14"/>
      <c r="G37" s="92" t="s">
        <v>143</v>
      </c>
      <c r="H37" s="17"/>
      <c r="I37" s="10"/>
      <c r="J37" s="20" t="s">
        <v>1001</v>
      </c>
      <c r="K37" s="33"/>
    </row>
    <row r="38" spans="1:11" s="4" customFormat="1" ht="51" x14ac:dyDescent="0.15">
      <c r="A38" s="13" t="s">
        <v>83</v>
      </c>
      <c r="B38" s="30" t="s">
        <v>1002</v>
      </c>
      <c r="C38" s="40"/>
      <c r="D38" s="40" t="s">
        <v>1003</v>
      </c>
      <c r="E38" s="105" t="s">
        <v>1004</v>
      </c>
      <c r="F38" s="14"/>
      <c r="G38" s="106" t="s">
        <v>1005</v>
      </c>
      <c r="H38" s="17"/>
      <c r="I38" s="10"/>
      <c r="J38" s="14" t="s">
        <v>1001</v>
      </c>
      <c r="K38" s="33" t="s">
        <v>973</v>
      </c>
    </row>
    <row r="39" spans="1:11" s="4" customFormat="1" ht="84.75" customHeight="1" x14ac:dyDescent="0.15">
      <c r="A39" s="13" t="s">
        <v>88</v>
      </c>
      <c r="B39" s="17" t="s">
        <v>145</v>
      </c>
      <c r="C39" s="13"/>
      <c r="D39" s="13" t="s">
        <v>146</v>
      </c>
      <c r="E39" s="19" t="s">
        <v>147</v>
      </c>
      <c r="F39" s="20" t="s">
        <v>148</v>
      </c>
      <c r="G39" s="19" t="s">
        <v>149</v>
      </c>
      <c r="H39" s="17"/>
      <c r="I39" s="10"/>
      <c r="J39" s="38" t="s">
        <v>1006</v>
      </c>
      <c r="K39" s="33"/>
    </row>
    <row r="40" spans="1:11" s="4" customFormat="1" ht="68" x14ac:dyDescent="0.15">
      <c r="A40" s="13" t="s">
        <v>93</v>
      </c>
      <c r="B40" s="21" t="s">
        <v>151</v>
      </c>
      <c r="C40" s="15"/>
      <c r="D40" s="15" t="s">
        <v>152</v>
      </c>
      <c r="E40" s="20" t="s">
        <v>153</v>
      </c>
      <c r="F40" s="14"/>
      <c r="G40" s="20" t="s">
        <v>154</v>
      </c>
      <c r="H40" s="17"/>
      <c r="I40" s="10"/>
      <c r="J40" s="20" t="s">
        <v>982</v>
      </c>
      <c r="K40" s="33"/>
    </row>
    <row r="41" spans="1:11" s="4" customFormat="1" ht="18.75" customHeight="1" x14ac:dyDescent="0.15">
      <c r="A41" s="12">
        <v>1.3</v>
      </c>
      <c r="B41" s="149" t="s">
        <v>1352</v>
      </c>
      <c r="C41" s="150"/>
      <c r="D41" s="150"/>
      <c r="E41" s="150"/>
      <c r="F41" s="150"/>
      <c r="G41" s="150"/>
      <c r="H41" s="150"/>
      <c r="I41" s="150"/>
      <c r="J41" s="150"/>
      <c r="K41" s="151"/>
    </row>
    <row r="42" spans="1:11" s="4" customFormat="1" ht="153" x14ac:dyDescent="0.15">
      <c r="A42" s="13" t="s">
        <v>114</v>
      </c>
      <c r="B42" s="14" t="s">
        <v>158</v>
      </c>
      <c r="C42" s="15" t="s">
        <v>159</v>
      </c>
      <c r="D42" s="21"/>
      <c r="E42" s="20" t="s">
        <v>160</v>
      </c>
      <c r="F42" s="20" t="s">
        <v>161</v>
      </c>
      <c r="G42" s="20" t="s">
        <v>162</v>
      </c>
      <c r="H42" s="17"/>
      <c r="I42" s="10"/>
      <c r="J42" s="14" t="s">
        <v>1007</v>
      </c>
      <c r="K42" s="33"/>
    </row>
    <row r="43" spans="1:11" s="4" customFormat="1" ht="85" x14ac:dyDescent="0.15">
      <c r="A43" s="13" t="s">
        <v>119</v>
      </c>
      <c r="B43" s="30" t="s">
        <v>164</v>
      </c>
      <c r="C43" s="39"/>
      <c r="D43" s="39" t="s">
        <v>165</v>
      </c>
      <c r="E43" s="20" t="s">
        <v>166</v>
      </c>
      <c r="F43" s="14" t="s">
        <v>167</v>
      </c>
      <c r="G43" s="92" t="s">
        <v>168</v>
      </c>
      <c r="H43" s="17"/>
      <c r="I43" s="10"/>
      <c r="J43" s="14" t="s">
        <v>1008</v>
      </c>
      <c r="K43" s="33"/>
    </row>
    <row r="44" spans="1:11" s="4" customFormat="1" ht="102" x14ac:dyDescent="0.15">
      <c r="A44" s="13" t="s">
        <v>125</v>
      </c>
      <c r="B44" s="21" t="s">
        <v>170</v>
      </c>
      <c r="C44" s="32" t="s">
        <v>171</v>
      </c>
      <c r="D44" s="33"/>
      <c r="E44" s="20" t="s">
        <v>172</v>
      </c>
      <c r="F44" s="14" t="s">
        <v>173</v>
      </c>
      <c r="G44" s="14" t="s">
        <v>174</v>
      </c>
      <c r="H44" s="17"/>
      <c r="I44" s="10"/>
      <c r="J44" s="14" t="s">
        <v>968</v>
      </c>
      <c r="K44" s="33"/>
    </row>
    <row r="45" spans="1:11" s="4" customFormat="1" ht="68" x14ac:dyDescent="0.15">
      <c r="A45" s="13" t="s">
        <v>130</v>
      </c>
      <c r="B45" s="21" t="s">
        <v>176</v>
      </c>
      <c r="C45" s="15" t="s">
        <v>177</v>
      </c>
      <c r="D45" s="33"/>
      <c r="E45" s="20" t="s">
        <v>178</v>
      </c>
      <c r="F45" s="20" t="s">
        <v>179</v>
      </c>
      <c r="G45" s="20" t="s">
        <v>180</v>
      </c>
      <c r="H45" s="17"/>
      <c r="I45" s="10"/>
      <c r="J45" s="14" t="s">
        <v>1009</v>
      </c>
      <c r="K45" s="33"/>
    </row>
    <row r="46" spans="1:11" s="4" customFormat="1" ht="85" x14ac:dyDescent="0.15">
      <c r="A46" s="13" t="s">
        <v>134</v>
      </c>
      <c r="B46" s="17" t="s">
        <v>182</v>
      </c>
      <c r="C46" s="13"/>
      <c r="D46" s="13" t="s">
        <v>183</v>
      </c>
      <c r="E46" s="37" t="s">
        <v>184</v>
      </c>
      <c r="F46" s="23" t="s">
        <v>185</v>
      </c>
      <c r="G46" s="37" t="s">
        <v>186</v>
      </c>
      <c r="H46" s="17"/>
      <c r="I46" s="10"/>
      <c r="J46" s="38" t="s">
        <v>1010</v>
      </c>
      <c r="K46" s="33"/>
    </row>
    <row r="47" spans="1:11" s="4" customFormat="1" ht="85" x14ac:dyDescent="0.15">
      <c r="A47" s="13" t="s">
        <v>139</v>
      </c>
      <c r="B47" s="17" t="s">
        <v>188</v>
      </c>
      <c r="C47" s="13"/>
      <c r="D47" s="13" t="s">
        <v>189</v>
      </c>
      <c r="E47" s="37" t="s">
        <v>190</v>
      </c>
      <c r="F47" s="23" t="s">
        <v>966</v>
      </c>
      <c r="G47" s="37" t="s">
        <v>191</v>
      </c>
      <c r="H47" s="17"/>
      <c r="I47" s="10"/>
      <c r="J47" s="38" t="s">
        <v>1011</v>
      </c>
      <c r="K47" s="33"/>
    </row>
    <row r="48" spans="1:11" s="4" customFormat="1" ht="102" x14ac:dyDescent="0.15">
      <c r="A48" s="13" t="s">
        <v>144</v>
      </c>
      <c r="B48" s="21" t="s">
        <v>193</v>
      </c>
      <c r="C48" s="15"/>
      <c r="D48" s="15" t="s">
        <v>194</v>
      </c>
      <c r="E48" s="20" t="s">
        <v>195</v>
      </c>
      <c r="F48" s="14"/>
      <c r="G48" s="20" t="s">
        <v>196</v>
      </c>
      <c r="H48" s="17"/>
      <c r="I48" s="10"/>
      <c r="J48" s="38" t="s">
        <v>1012</v>
      </c>
      <c r="K48" s="33"/>
    </row>
    <row r="49" spans="1:11" s="4" customFormat="1" ht="102" x14ac:dyDescent="0.15">
      <c r="A49" s="13" t="s">
        <v>150</v>
      </c>
      <c r="B49" s="17" t="s">
        <v>342</v>
      </c>
      <c r="C49" s="13" t="s">
        <v>343</v>
      </c>
      <c r="D49" s="33"/>
      <c r="E49" s="19" t="s">
        <v>344</v>
      </c>
      <c r="F49" s="14"/>
      <c r="G49" s="19" t="s">
        <v>345</v>
      </c>
      <c r="H49" s="14" t="s">
        <v>346</v>
      </c>
      <c r="I49" s="10"/>
      <c r="J49" s="38" t="s">
        <v>1011</v>
      </c>
      <c r="K49" s="33"/>
    </row>
    <row r="50" spans="1:11" s="4" customFormat="1" ht="51" x14ac:dyDescent="0.15">
      <c r="A50" s="13" t="s">
        <v>906</v>
      </c>
      <c r="B50" s="21" t="s">
        <v>198</v>
      </c>
      <c r="C50" s="15"/>
      <c r="D50" s="15" t="s">
        <v>199</v>
      </c>
      <c r="E50" s="20" t="s">
        <v>200</v>
      </c>
      <c r="F50" s="14"/>
      <c r="G50" s="20" t="s">
        <v>201</v>
      </c>
      <c r="H50" s="17"/>
      <c r="I50" s="10"/>
      <c r="J50" s="38" t="s">
        <v>1013</v>
      </c>
      <c r="K50" s="33"/>
    </row>
    <row r="51" spans="1:11" s="4" customFormat="1" ht="68" x14ac:dyDescent="0.15">
      <c r="A51" s="13" t="s">
        <v>1014</v>
      </c>
      <c r="B51" s="21" t="s">
        <v>1015</v>
      </c>
      <c r="C51" s="15"/>
      <c r="D51" s="15" t="s">
        <v>1016</v>
      </c>
      <c r="E51" s="14" t="s">
        <v>1017</v>
      </c>
      <c r="F51" s="14" t="s">
        <v>283</v>
      </c>
      <c r="G51" s="14" t="s">
        <v>92</v>
      </c>
      <c r="H51" s="17"/>
      <c r="I51" s="10"/>
      <c r="J51" s="46" t="s">
        <v>1013</v>
      </c>
      <c r="K51" s="33" t="s">
        <v>973</v>
      </c>
    </row>
    <row r="52" spans="1:11" s="4" customFormat="1" ht="85" x14ac:dyDescent="0.15">
      <c r="A52" s="13" t="s">
        <v>1018</v>
      </c>
      <c r="B52" s="21" t="s">
        <v>203</v>
      </c>
      <c r="C52" s="15"/>
      <c r="D52" s="15" t="s">
        <v>204</v>
      </c>
      <c r="E52" s="20" t="s">
        <v>205</v>
      </c>
      <c r="F52" s="14"/>
      <c r="G52" s="20" t="s">
        <v>206</v>
      </c>
      <c r="H52" s="17"/>
      <c r="I52" s="10"/>
      <c r="J52" s="38" t="s">
        <v>1013</v>
      </c>
      <c r="K52" s="33"/>
    </row>
    <row r="53" spans="1:11" s="4" customFormat="1" ht="30" customHeight="1" x14ac:dyDescent="0.15">
      <c r="A53" s="13" t="s">
        <v>1019</v>
      </c>
      <c r="B53" s="30" t="s">
        <v>103</v>
      </c>
      <c r="C53" s="40"/>
      <c r="D53" s="40" t="s">
        <v>104</v>
      </c>
      <c r="E53" s="20" t="s">
        <v>105</v>
      </c>
      <c r="F53" s="14"/>
      <c r="G53" s="92" t="s">
        <v>106</v>
      </c>
      <c r="H53" s="17"/>
      <c r="I53" s="10"/>
      <c r="J53" s="38" t="s">
        <v>1020</v>
      </c>
      <c r="K53" s="33"/>
    </row>
    <row r="54" spans="1:11" s="4" customFormat="1" ht="51" x14ac:dyDescent="0.15">
      <c r="A54" s="13" t="s">
        <v>1021</v>
      </c>
      <c r="B54" s="21" t="s">
        <v>208</v>
      </c>
      <c r="C54" s="40"/>
      <c r="D54" s="40" t="s">
        <v>209</v>
      </c>
      <c r="E54" s="20" t="s">
        <v>210</v>
      </c>
      <c r="F54" s="14"/>
      <c r="G54" s="92" t="s">
        <v>211</v>
      </c>
      <c r="H54" s="17"/>
      <c r="I54" s="10"/>
      <c r="J54" s="38" t="s">
        <v>1020</v>
      </c>
      <c r="K54" s="33"/>
    </row>
    <row r="55" spans="1:11" s="4" customFormat="1" ht="34" x14ac:dyDescent="0.15">
      <c r="A55" s="13" t="s">
        <v>1022</v>
      </c>
      <c r="B55" s="21" t="s">
        <v>1023</v>
      </c>
      <c r="C55" s="40"/>
      <c r="D55" s="40" t="s">
        <v>1024</v>
      </c>
      <c r="E55" s="14" t="s">
        <v>1025</v>
      </c>
      <c r="F55" s="14"/>
      <c r="G55" s="106" t="s">
        <v>1026</v>
      </c>
      <c r="H55" s="17"/>
      <c r="I55" s="10"/>
      <c r="J55" s="46" t="s">
        <v>1020</v>
      </c>
      <c r="K55" s="33"/>
    </row>
    <row r="56" spans="1:11" s="4" customFormat="1" ht="31.5" customHeight="1" x14ac:dyDescent="0.15">
      <c r="A56" s="12">
        <v>1.4</v>
      </c>
      <c r="B56" s="155" t="s">
        <v>1343</v>
      </c>
      <c r="C56" s="156"/>
      <c r="D56" s="156"/>
      <c r="E56" s="156"/>
      <c r="F56" s="156"/>
      <c r="G56" s="156"/>
      <c r="H56" s="156"/>
      <c r="I56" s="156"/>
      <c r="J56" s="156"/>
      <c r="K56" s="157"/>
    </row>
    <row r="57" spans="1:11" s="4" customFormat="1" ht="102" x14ac:dyDescent="0.15">
      <c r="A57" s="13" t="s">
        <v>157</v>
      </c>
      <c r="B57" s="17" t="s">
        <v>215</v>
      </c>
      <c r="C57" s="13" t="s">
        <v>216</v>
      </c>
      <c r="D57" s="21"/>
      <c r="E57" s="37" t="s">
        <v>217</v>
      </c>
      <c r="F57" s="23" t="s">
        <v>218</v>
      </c>
      <c r="G57" s="37" t="s">
        <v>149</v>
      </c>
      <c r="H57" s="41"/>
      <c r="I57" s="33"/>
      <c r="J57" s="38" t="s">
        <v>1027</v>
      </c>
      <c r="K57" s="33"/>
    </row>
    <row r="58" spans="1:11" s="4" customFormat="1" ht="51" x14ac:dyDescent="0.15">
      <c r="A58" s="13" t="s">
        <v>163</v>
      </c>
      <c r="B58" s="30" t="s">
        <v>220</v>
      </c>
      <c r="C58" s="40" t="s">
        <v>221</v>
      </c>
      <c r="D58" s="33"/>
      <c r="E58" s="20" t="s">
        <v>222</v>
      </c>
      <c r="F58" s="14"/>
      <c r="G58" s="92" t="s">
        <v>223</v>
      </c>
      <c r="H58" s="17"/>
      <c r="I58" s="10"/>
      <c r="J58" s="38" t="s">
        <v>1028</v>
      </c>
      <c r="K58" s="33"/>
    </row>
    <row r="59" spans="1:11" s="4" customFormat="1" ht="51" x14ac:dyDescent="0.15">
      <c r="A59" s="13" t="s">
        <v>169</v>
      </c>
      <c r="B59" s="14" t="s">
        <v>1029</v>
      </c>
      <c r="C59" s="15" t="s">
        <v>1030</v>
      </c>
      <c r="D59" s="33"/>
      <c r="E59" s="14" t="s">
        <v>1031</v>
      </c>
      <c r="F59" s="14"/>
      <c r="G59" s="14" t="s">
        <v>56</v>
      </c>
      <c r="H59" s="17"/>
      <c r="I59" s="10"/>
      <c r="J59" s="46" t="s">
        <v>1032</v>
      </c>
      <c r="K59" s="33" t="s">
        <v>1033</v>
      </c>
    </row>
    <row r="60" spans="1:11" s="4" customFormat="1" ht="68" x14ac:dyDescent="0.15">
      <c r="A60" s="13" t="s">
        <v>175</v>
      </c>
      <c r="B60" s="21" t="s">
        <v>225</v>
      </c>
      <c r="C60" s="24"/>
      <c r="D60" s="24" t="s">
        <v>226</v>
      </c>
      <c r="E60" s="20" t="s">
        <v>227</v>
      </c>
      <c r="F60" s="20" t="s">
        <v>228</v>
      </c>
      <c r="G60" s="20" t="s">
        <v>92</v>
      </c>
      <c r="H60" s="17"/>
      <c r="I60" s="10"/>
      <c r="J60" s="38" t="s">
        <v>1034</v>
      </c>
      <c r="K60" s="33"/>
    </row>
    <row r="61" spans="1:11" s="4" customFormat="1" ht="85" x14ac:dyDescent="0.15">
      <c r="A61" s="13" t="s">
        <v>181</v>
      </c>
      <c r="B61" s="17" t="s">
        <v>230</v>
      </c>
      <c r="C61" s="13"/>
      <c r="D61" s="13" t="s">
        <v>231</v>
      </c>
      <c r="E61" s="19" t="s">
        <v>232</v>
      </c>
      <c r="F61" s="19" t="s">
        <v>233</v>
      </c>
      <c r="G61" s="19" t="s">
        <v>234</v>
      </c>
      <c r="H61" s="17"/>
      <c r="I61" s="10"/>
      <c r="J61" s="20" t="s">
        <v>1035</v>
      </c>
      <c r="K61" s="33"/>
    </row>
    <row r="62" spans="1:11" s="4" customFormat="1" ht="102" x14ac:dyDescent="0.15">
      <c r="A62" s="13" t="s">
        <v>187</v>
      </c>
      <c r="B62" s="21" t="s">
        <v>236</v>
      </c>
      <c r="C62" s="16"/>
      <c r="D62" s="16" t="s">
        <v>237</v>
      </c>
      <c r="E62" s="20" t="s">
        <v>238</v>
      </c>
      <c r="F62" s="20" t="s">
        <v>239</v>
      </c>
      <c r="G62" s="20" t="s">
        <v>56</v>
      </c>
      <c r="H62" s="17"/>
      <c r="I62" s="10"/>
      <c r="J62" s="38" t="s">
        <v>1036</v>
      </c>
      <c r="K62" s="33"/>
    </row>
    <row r="63" spans="1:11" s="4" customFormat="1" ht="85" x14ac:dyDescent="0.15">
      <c r="A63" s="13" t="s">
        <v>192</v>
      </c>
      <c r="B63" s="14" t="s">
        <v>241</v>
      </c>
      <c r="C63" s="15" t="s">
        <v>242</v>
      </c>
      <c r="D63" s="33"/>
      <c r="E63" s="20" t="s">
        <v>243</v>
      </c>
      <c r="F63" s="20" t="s">
        <v>244</v>
      </c>
      <c r="G63" s="20" t="s">
        <v>168</v>
      </c>
      <c r="H63" s="17"/>
      <c r="I63" s="10"/>
      <c r="J63" s="38" t="s">
        <v>1037</v>
      </c>
      <c r="K63" s="33"/>
    </row>
    <row r="64" spans="1:11" s="4" customFormat="1" ht="102" x14ac:dyDescent="0.15">
      <c r="A64" s="13" t="s">
        <v>197</v>
      </c>
      <c r="B64" s="17" t="s">
        <v>246</v>
      </c>
      <c r="C64" s="13"/>
      <c r="D64" s="13" t="s">
        <v>247</v>
      </c>
      <c r="E64" s="19" t="s">
        <v>248</v>
      </c>
      <c r="F64" s="20" t="s">
        <v>249</v>
      </c>
      <c r="G64" s="19" t="s">
        <v>250</v>
      </c>
      <c r="H64" s="14"/>
      <c r="I64" s="10"/>
      <c r="J64" s="38" t="s">
        <v>1038</v>
      </c>
      <c r="K64" s="33"/>
    </row>
    <row r="65" spans="1:11" s="4" customFormat="1" ht="50.25" customHeight="1" x14ac:dyDescent="0.15">
      <c r="A65" s="13" t="s">
        <v>202</v>
      </c>
      <c r="B65" s="17" t="s">
        <v>1039</v>
      </c>
      <c r="C65" s="13" t="s">
        <v>1040</v>
      </c>
      <c r="D65" s="33"/>
      <c r="E65" s="36" t="s">
        <v>1041</v>
      </c>
      <c r="F65" s="14"/>
      <c r="G65" s="36" t="s">
        <v>162</v>
      </c>
      <c r="H65" s="17"/>
      <c r="I65" s="10"/>
      <c r="J65" s="46" t="s">
        <v>1038</v>
      </c>
      <c r="K65" s="33" t="s">
        <v>1033</v>
      </c>
    </row>
    <row r="66" spans="1:11" s="4" customFormat="1" ht="119" x14ac:dyDescent="0.15">
      <c r="A66" s="13" t="s">
        <v>207</v>
      </c>
      <c r="B66" s="21" t="s">
        <v>1042</v>
      </c>
      <c r="C66" s="15" t="s">
        <v>1043</v>
      </c>
      <c r="D66" s="33"/>
      <c r="E66" s="14" t="s">
        <v>1044</v>
      </c>
      <c r="F66" s="14" t="s">
        <v>1045</v>
      </c>
      <c r="G66" s="46" t="s">
        <v>1046</v>
      </c>
      <c r="H66" s="17"/>
      <c r="I66" s="10"/>
      <c r="J66" s="46" t="s">
        <v>1047</v>
      </c>
      <c r="K66" s="33" t="s">
        <v>973</v>
      </c>
    </row>
    <row r="67" spans="1:11" s="4" customFormat="1" ht="51" x14ac:dyDescent="0.15">
      <c r="A67" s="13" t="s">
        <v>1048</v>
      </c>
      <c r="B67" s="21" t="s">
        <v>252</v>
      </c>
      <c r="C67" s="15" t="s">
        <v>253</v>
      </c>
      <c r="D67" s="33"/>
      <c r="E67" s="20" t="s">
        <v>254</v>
      </c>
      <c r="F67" s="14"/>
      <c r="G67" s="14" t="s">
        <v>255</v>
      </c>
      <c r="H67" s="17"/>
      <c r="I67" s="10"/>
      <c r="J67" s="38" t="s">
        <v>1047</v>
      </c>
      <c r="K67" s="33"/>
    </row>
    <row r="68" spans="1:11" s="4" customFormat="1" ht="51" x14ac:dyDescent="0.15">
      <c r="A68" s="13" t="s">
        <v>1049</v>
      </c>
      <c r="B68" s="30" t="s">
        <v>257</v>
      </c>
      <c r="C68" s="40"/>
      <c r="D68" s="42" t="s">
        <v>258</v>
      </c>
      <c r="E68" s="20" t="s">
        <v>259</v>
      </c>
      <c r="F68" s="14"/>
      <c r="G68" s="92" t="s">
        <v>260</v>
      </c>
      <c r="H68" s="17"/>
      <c r="I68" s="10"/>
      <c r="J68" s="38" t="s">
        <v>1050</v>
      </c>
      <c r="K68" s="33"/>
    </row>
    <row r="69" spans="1:11" s="4" customFormat="1" ht="51" x14ac:dyDescent="0.15">
      <c r="A69" s="13" t="s">
        <v>1051</v>
      </c>
      <c r="B69" s="30" t="s">
        <v>1052</v>
      </c>
      <c r="C69" s="40"/>
      <c r="D69" s="42" t="s">
        <v>1053</v>
      </c>
      <c r="E69" s="19" t="s">
        <v>759</v>
      </c>
      <c r="F69" s="14" t="s">
        <v>1054</v>
      </c>
      <c r="G69" s="92" t="s">
        <v>1055</v>
      </c>
      <c r="H69" s="17"/>
      <c r="I69" s="10"/>
      <c r="J69" s="38" t="s">
        <v>1050</v>
      </c>
      <c r="K69" s="33"/>
    </row>
    <row r="70" spans="1:11" s="4" customFormat="1" ht="68" x14ac:dyDescent="0.15">
      <c r="A70" s="13" t="s">
        <v>1056</v>
      </c>
      <c r="B70" s="21" t="s">
        <v>262</v>
      </c>
      <c r="C70" s="15" t="s">
        <v>263</v>
      </c>
      <c r="D70" s="33"/>
      <c r="E70" s="20" t="s">
        <v>264</v>
      </c>
      <c r="F70" s="14" t="s">
        <v>265</v>
      </c>
      <c r="G70" s="20" t="s">
        <v>266</v>
      </c>
      <c r="H70" s="17"/>
      <c r="I70" s="10"/>
      <c r="J70" s="38" t="s">
        <v>1057</v>
      </c>
      <c r="K70" s="33"/>
    </row>
    <row r="71" spans="1:11" s="4" customFormat="1" ht="18.75" customHeight="1" x14ac:dyDescent="0.15">
      <c r="A71" s="12">
        <v>1.5</v>
      </c>
      <c r="B71" s="149" t="s">
        <v>1344</v>
      </c>
      <c r="C71" s="150"/>
      <c r="D71" s="150"/>
      <c r="E71" s="150"/>
      <c r="F71" s="150"/>
      <c r="G71" s="150"/>
      <c r="H71" s="150"/>
      <c r="I71" s="150"/>
      <c r="J71" s="150"/>
      <c r="K71" s="151"/>
    </row>
    <row r="72" spans="1:11" s="4" customFormat="1" ht="136" x14ac:dyDescent="0.15">
      <c r="A72" s="13" t="s">
        <v>214</v>
      </c>
      <c r="B72" s="21" t="s">
        <v>269</v>
      </c>
      <c r="C72" s="15" t="s">
        <v>270</v>
      </c>
      <c r="D72" s="33"/>
      <c r="E72" s="20" t="s">
        <v>271</v>
      </c>
      <c r="F72" s="14"/>
      <c r="G72" s="20" t="s">
        <v>272</v>
      </c>
      <c r="H72" s="17"/>
      <c r="I72" s="10"/>
      <c r="J72" s="14" t="s">
        <v>1058</v>
      </c>
      <c r="K72" s="33"/>
    </row>
    <row r="73" spans="1:11" s="4" customFormat="1" ht="102" x14ac:dyDescent="0.15">
      <c r="A73" s="13" t="s">
        <v>219</v>
      </c>
      <c r="B73" s="30" t="s">
        <v>1059</v>
      </c>
      <c r="C73" s="40" t="s">
        <v>1060</v>
      </c>
      <c r="D73" s="33"/>
      <c r="E73" s="107" t="s">
        <v>1061</v>
      </c>
      <c r="F73" s="14"/>
      <c r="G73" s="106" t="s">
        <v>1062</v>
      </c>
      <c r="H73" s="17"/>
      <c r="I73" s="10"/>
      <c r="J73" s="14" t="s">
        <v>1063</v>
      </c>
      <c r="K73" s="33"/>
    </row>
    <row r="74" spans="1:11" s="4" customFormat="1" ht="85" x14ac:dyDescent="0.15">
      <c r="A74" s="13" t="s">
        <v>224</v>
      </c>
      <c r="B74" s="21" t="s">
        <v>275</v>
      </c>
      <c r="C74" s="15" t="s">
        <v>276</v>
      </c>
      <c r="D74" s="33"/>
      <c r="E74" s="20" t="s">
        <v>277</v>
      </c>
      <c r="F74" s="14"/>
      <c r="G74" s="20" t="s">
        <v>278</v>
      </c>
      <c r="H74" s="17"/>
      <c r="I74" s="10"/>
      <c r="J74" s="14" t="s">
        <v>1064</v>
      </c>
      <c r="K74" s="33"/>
    </row>
    <row r="75" spans="1:11" s="4" customFormat="1" ht="77.25" customHeight="1" x14ac:dyDescent="0.15">
      <c r="A75" s="13" t="s">
        <v>229</v>
      </c>
      <c r="B75" s="43" t="s">
        <v>280</v>
      </c>
      <c r="C75" s="40" t="s">
        <v>281</v>
      </c>
      <c r="D75" s="33"/>
      <c r="E75" s="19" t="s">
        <v>282</v>
      </c>
      <c r="F75" s="20" t="s">
        <v>283</v>
      </c>
      <c r="G75" s="20" t="s">
        <v>92</v>
      </c>
      <c r="H75" s="14"/>
      <c r="I75" s="10"/>
      <c r="J75" s="14" t="s">
        <v>1065</v>
      </c>
      <c r="K75" s="33"/>
    </row>
    <row r="76" spans="1:11" s="4" customFormat="1" ht="73.5" customHeight="1" x14ac:dyDescent="0.15">
      <c r="A76" s="13" t="s">
        <v>235</v>
      </c>
      <c r="B76" s="34" t="s">
        <v>285</v>
      </c>
      <c r="C76" s="35" t="s">
        <v>286</v>
      </c>
      <c r="D76" s="33"/>
      <c r="E76" s="19" t="s">
        <v>287</v>
      </c>
      <c r="F76" s="20"/>
      <c r="G76" s="19" t="s">
        <v>288</v>
      </c>
      <c r="H76" s="14"/>
      <c r="I76" s="10"/>
      <c r="J76" s="38" t="s">
        <v>1066</v>
      </c>
      <c r="K76" s="33"/>
    </row>
    <row r="77" spans="1:11" s="4" customFormat="1" ht="90" customHeight="1" x14ac:dyDescent="0.15">
      <c r="A77" s="13" t="s">
        <v>240</v>
      </c>
      <c r="B77" s="14" t="s">
        <v>290</v>
      </c>
      <c r="C77" s="42" t="s">
        <v>291</v>
      </c>
      <c r="D77" s="33"/>
      <c r="E77" s="19" t="s">
        <v>292</v>
      </c>
      <c r="F77" s="20"/>
      <c r="G77" s="19" t="s">
        <v>293</v>
      </c>
      <c r="H77" s="14"/>
      <c r="I77" s="10"/>
      <c r="J77" s="38" t="s">
        <v>1066</v>
      </c>
      <c r="K77" s="33"/>
    </row>
    <row r="78" spans="1:11" s="4" customFormat="1" ht="58.5" customHeight="1" x14ac:dyDescent="0.15">
      <c r="A78" s="13" t="s">
        <v>245</v>
      </c>
      <c r="B78" s="14" t="s">
        <v>295</v>
      </c>
      <c r="C78" s="40" t="s">
        <v>296</v>
      </c>
      <c r="D78" s="33"/>
      <c r="E78" s="19" t="s">
        <v>297</v>
      </c>
      <c r="F78" s="20" t="s">
        <v>298</v>
      </c>
      <c r="G78" s="20" t="s">
        <v>92</v>
      </c>
      <c r="H78" s="14"/>
      <c r="I78" s="10"/>
      <c r="J78" s="38" t="s">
        <v>1066</v>
      </c>
      <c r="K78" s="33"/>
    </row>
    <row r="79" spans="1:11" s="4" customFormat="1" ht="69.75" customHeight="1" x14ac:dyDescent="0.15">
      <c r="A79" s="13" t="s">
        <v>251</v>
      </c>
      <c r="B79" s="14" t="s">
        <v>300</v>
      </c>
      <c r="C79" s="42" t="s">
        <v>301</v>
      </c>
      <c r="D79" s="33"/>
      <c r="E79" s="19" t="s">
        <v>302</v>
      </c>
      <c r="F79" s="20"/>
      <c r="G79" s="19" t="s">
        <v>92</v>
      </c>
      <c r="H79" s="14"/>
      <c r="I79" s="10"/>
      <c r="J79" s="38" t="s">
        <v>1066</v>
      </c>
      <c r="K79" s="33"/>
    </row>
    <row r="80" spans="1:11" s="4" customFormat="1" ht="85" x14ac:dyDescent="0.15">
      <c r="A80" s="13" t="s">
        <v>256</v>
      </c>
      <c r="B80" s="21" t="s">
        <v>304</v>
      </c>
      <c r="C80" s="15" t="s">
        <v>305</v>
      </c>
      <c r="D80" s="33"/>
      <c r="E80" s="20" t="s">
        <v>306</v>
      </c>
      <c r="F80" s="14"/>
      <c r="G80" s="20" t="s">
        <v>56</v>
      </c>
      <c r="H80" s="17"/>
      <c r="I80" s="10"/>
      <c r="J80" s="38" t="s">
        <v>1067</v>
      </c>
      <c r="K80" s="33"/>
    </row>
    <row r="81" spans="1:11" s="4" customFormat="1" ht="51" x14ac:dyDescent="0.15">
      <c r="A81" s="13" t="s">
        <v>261</v>
      </c>
      <c r="B81" s="21" t="s">
        <v>308</v>
      </c>
      <c r="C81" s="15" t="s">
        <v>309</v>
      </c>
      <c r="D81" s="33"/>
      <c r="E81" s="20" t="s">
        <v>310</v>
      </c>
      <c r="F81" s="14"/>
      <c r="G81" s="20" t="s">
        <v>311</v>
      </c>
      <c r="H81" s="17"/>
      <c r="I81" s="10"/>
      <c r="J81" s="38" t="s">
        <v>1067</v>
      </c>
      <c r="K81" s="33"/>
    </row>
    <row r="82" spans="1:11" s="4" customFormat="1" ht="85" x14ac:dyDescent="0.15">
      <c r="A82" s="13" t="s">
        <v>1068</v>
      </c>
      <c r="B82" s="21" t="s">
        <v>313</v>
      </c>
      <c r="C82" s="15"/>
      <c r="D82" s="15" t="s">
        <v>314</v>
      </c>
      <c r="E82" s="20" t="s">
        <v>315</v>
      </c>
      <c r="F82" s="14"/>
      <c r="G82" s="20" t="s">
        <v>56</v>
      </c>
      <c r="H82" s="17"/>
      <c r="I82" s="10"/>
      <c r="J82" s="38" t="s">
        <v>1067</v>
      </c>
      <c r="K82" s="33"/>
    </row>
    <row r="83" spans="1:11" s="4" customFormat="1" ht="51" x14ac:dyDescent="0.15">
      <c r="A83" s="13" t="s">
        <v>1069</v>
      </c>
      <c r="B83" s="30" t="s">
        <v>1070</v>
      </c>
      <c r="C83" s="40" t="s">
        <v>1071</v>
      </c>
      <c r="D83" s="33"/>
      <c r="E83" s="107" t="s">
        <v>1072</v>
      </c>
      <c r="F83" s="14"/>
      <c r="G83" s="106" t="s">
        <v>92</v>
      </c>
      <c r="H83" s="17"/>
      <c r="I83" s="10"/>
      <c r="J83" s="46" t="s">
        <v>1073</v>
      </c>
      <c r="K83" s="33"/>
    </row>
    <row r="84" spans="1:11" s="4" customFormat="1" ht="51" x14ac:dyDescent="0.15">
      <c r="A84" s="13" t="s">
        <v>1074</v>
      </c>
      <c r="B84" s="30" t="s">
        <v>317</v>
      </c>
      <c r="C84" s="40" t="s">
        <v>318</v>
      </c>
      <c r="D84" s="33"/>
      <c r="E84" s="44" t="s">
        <v>319</v>
      </c>
      <c r="F84" s="14"/>
      <c r="G84" s="92" t="s">
        <v>92</v>
      </c>
      <c r="H84" s="17"/>
      <c r="I84" s="10"/>
      <c r="J84" s="38" t="s">
        <v>1073</v>
      </c>
      <c r="K84" s="33"/>
    </row>
    <row r="85" spans="1:11" s="4" customFormat="1" ht="68" x14ac:dyDescent="0.15">
      <c r="A85" s="13" t="s">
        <v>1075</v>
      </c>
      <c r="B85" s="21" t="s">
        <v>320</v>
      </c>
      <c r="C85" s="45"/>
      <c r="D85" s="15" t="s">
        <v>321</v>
      </c>
      <c r="E85" s="20" t="s">
        <v>322</v>
      </c>
      <c r="F85" s="14"/>
      <c r="G85" s="20" t="s">
        <v>92</v>
      </c>
      <c r="H85" s="17"/>
      <c r="I85" s="10"/>
      <c r="J85" s="38" t="s">
        <v>1076</v>
      </c>
      <c r="K85" s="33"/>
    </row>
    <row r="86" spans="1:11" s="4" customFormat="1" ht="23" customHeight="1" x14ac:dyDescent="0.15">
      <c r="A86" s="9">
        <v>1.6</v>
      </c>
      <c r="B86" s="152" t="s">
        <v>1345</v>
      </c>
      <c r="C86" s="153"/>
      <c r="D86" s="153"/>
      <c r="E86" s="153"/>
      <c r="F86" s="153"/>
      <c r="G86" s="153"/>
      <c r="H86" s="153"/>
      <c r="I86" s="153"/>
      <c r="J86" s="153"/>
      <c r="K86" s="154"/>
    </row>
    <row r="87" spans="1:11" s="4" customFormat="1" ht="68.25" customHeight="1" x14ac:dyDescent="0.15">
      <c r="A87" s="13" t="s">
        <v>268</v>
      </c>
      <c r="B87" s="21" t="s">
        <v>1077</v>
      </c>
      <c r="C87" s="15" t="s">
        <v>1078</v>
      </c>
      <c r="D87" s="33"/>
      <c r="E87" s="14" t="s">
        <v>1079</v>
      </c>
      <c r="F87" s="14" t="s">
        <v>1080</v>
      </c>
      <c r="G87" s="14" t="s">
        <v>1081</v>
      </c>
      <c r="H87" s="17"/>
      <c r="I87" s="10"/>
      <c r="J87" s="14" t="s">
        <v>1082</v>
      </c>
      <c r="K87" s="33" t="s">
        <v>973</v>
      </c>
    </row>
    <row r="88" spans="1:11" s="4" customFormat="1" ht="68.25" customHeight="1" x14ac:dyDescent="0.15">
      <c r="A88" s="13" t="s">
        <v>273</v>
      </c>
      <c r="B88" s="41" t="s">
        <v>1083</v>
      </c>
      <c r="C88" s="40" t="s">
        <v>1084</v>
      </c>
      <c r="D88" s="33"/>
      <c r="E88" s="107" t="s">
        <v>537</v>
      </c>
      <c r="F88" s="14"/>
      <c r="G88" s="106" t="s">
        <v>1085</v>
      </c>
      <c r="H88" s="17"/>
      <c r="I88" s="10"/>
      <c r="J88" s="14" t="s">
        <v>1086</v>
      </c>
      <c r="K88" s="33" t="s">
        <v>973</v>
      </c>
    </row>
    <row r="89" spans="1:11" s="4" customFormat="1" ht="85" x14ac:dyDescent="0.15">
      <c r="A89" s="13" t="s">
        <v>274</v>
      </c>
      <c r="B89" s="21" t="s">
        <v>326</v>
      </c>
      <c r="C89" s="15" t="s">
        <v>327</v>
      </c>
      <c r="D89" s="33"/>
      <c r="E89" s="20" t="s">
        <v>328</v>
      </c>
      <c r="F89" s="20" t="s">
        <v>329</v>
      </c>
      <c r="G89" s="20" t="s">
        <v>293</v>
      </c>
      <c r="H89" s="17"/>
      <c r="I89" s="10"/>
      <c r="J89" s="38" t="s">
        <v>1087</v>
      </c>
      <c r="K89" s="33"/>
    </row>
    <row r="90" spans="1:11" s="4" customFormat="1" ht="84" customHeight="1" x14ac:dyDescent="0.15">
      <c r="A90" s="13" t="s">
        <v>279</v>
      </c>
      <c r="B90" s="17" t="s">
        <v>331</v>
      </c>
      <c r="C90" s="13" t="s">
        <v>332</v>
      </c>
      <c r="D90" s="33"/>
      <c r="E90" s="19" t="s">
        <v>333</v>
      </c>
      <c r="F90" s="14"/>
      <c r="G90" s="19" t="s">
        <v>334</v>
      </c>
      <c r="H90" s="17"/>
      <c r="I90" s="10"/>
      <c r="J90" s="38" t="s">
        <v>1088</v>
      </c>
      <c r="K90" s="33"/>
    </row>
    <row r="91" spans="1:11" s="4" customFormat="1" ht="85" x14ac:dyDescent="0.15">
      <c r="A91" s="13" t="s">
        <v>284</v>
      </c>
      <c r="B91" s="30" t="s">
        <v>1089</v>
      </c>
      <c r="C91" s="40" t="s">
        <v>1090</v>
      </c>
      <c r="D91" s="33"/>
      <c r="E91" s="14" t="s">
        <v>1091</v>
      </c>
      <c r="F91" s="14" t="s">
        <v>1092</v>
      </c>
      <c r="G91" s="14" t="s">
        <v>1093</v>
      </c>
      <c r="H91" s="17"/>
      <c r="I91" s="10"/>
      <c r="J91" s="46" t="s">
        <v>1094</v>
      </c>
      <c r="K91" s="33" t="s">
        <v>973</v>
      </c>
    </row>
    <row r="92" spans="1:11" s="4" customFormat="1" ht="102" x14ac:dyDescent="0.15">
      <c r="A92" s="13" t="s">
        <v>289</v>
      </c>
      <c r="B92" s="21" t="s">
        <v>336</v>
      </c>
      <c r="C92" s="15" t="s">
        <v>337</v>
      </c>
      <c r="D92" s="33"/>
      <c r="E92" s="14" t="s">
        <v>338</v>
      </c>
      <c r="F92" s="14" t="s">
        <v>339</v>
      </c>
      <c r="G92" s="14" t="s">
        <v>340</v>
      </c>
      <c r="H92" s="17"/>
      <c r="I92" s="10"/>
      <c r="J92" s="14" t="s">
        <v>1095</v>
      </c>
      <c r="K92" s="33"/>
    </row>
    <row r="93" spans="1:11" s="4" customFormat="1" ht="102" x14ac:dyDescent="0.15">
      <c r="A93" s="13" t="s">
        <v>294</v>
      </c>
      <c r="B93" s="14" t="s">
        <v>1096</v>
      </c>
      <c r="C93" s="45"/>
      <c r="D93" s="15" t="s">
        <v>1097</v>
      </c>
      <c r="E93" s="14" t="s">
        <v>1098</v>
      </c>
      <c r="F93" s="14" t="s">
        <v>1099</v>
      </c>
      <c r="G93" s="14" t="s">
        <v>1100</v>
      </c>
      <c r="H93" s="17"/>
      <c r="I93" s="10"/>
      <c r="J93" s="46" t="s">
        <v>1076</v>
      </c>
      <c r="K93" s="33" t="s">
        <v>973</v>
      </c>
    </row>
    <row r="94" spans="1:11" s="4" customFormat="1" ht="85" x14ac:dyDescent="0.15">
      <c r="A94" s="13" t="s">
        <v>299</v>
      </c>
      <c r="B94" s="21" t="s">
        <v>348</v>
      </c>
      <c r="C94" s="45"/>
      <c r="D94" s="15" t="s">
        <v>349</v>
      </c>
      <c r="E94" s="20" t="s">
        <v>350</v>
      </c>
      <c r="F94" s="14"/>
      <c r="G94" s="20" t="s">
        <v>92</v>
      </c>
      <c r="H94" s="17"/>
      <c r="I94" s="10"/>
      <c r="J94" s="46" t="s">
        <v>1047</v>
      </c>
      <c r="K94" s="33"/>
    </row>
    <row r="95" spans="1:11" s="4" customFormat="1" ht="18.75" customHeight="1" x14ac:dyDescent="0.15">
      <c r="A95" s="12">
        <v>1.7</v>
      </c>
      <c r="B95" s="149" t="s">
        <v>1101</v>
      </c>
      <c r="C95" s="150"/>
      <c r="D95" s="150"/>
      <c r="E95" s="150"/>
      <c r="F95" s="150"/>
      <c r="G95" s="150"/>
      <c r="H95" s="150"/>
      <c r="I95" s="150"/>
      <c r="J95" s="150"/>
      <c r="K95" s="151"/>
    </row>
    <row r="96" spans="1:11" s="4" customFormat="1" ht="51" x14ac:dyDescent="0.15">
      <c r="A96" s="13" t="s">
        <v>325</v>
      </c>
      <c r="B96" s="30" t="s">
        <v>353</v>
      </c>
      <c r="C96" s="47"/>
      <c r="D96" s="47" t="s">
        <v>354</v>
      </c>
      <c r="E96" s="20" t="s">
        <v>70</v>
      </c>
      <c r="F96" s="14"/>
      <c r="G96" s="92" t="s">
        <v>355</v>
      </c>
      <c r="H96" s="17"/>
      <c r="I96" s="10"/>
      <c r="J96" s="38" t="s">
        <v>1102</v>
      </c>
      <c r="K96" s="33"/>
    </row>
    <row r="97" spans="1:11" s="4" customFormat="1" ht="51" x14ac:dyDescent="0.15">
      <c r="A97" s="13" t="s">
        <v>330</v>
      </c>
      <c r="B97" s="30" t="s">
        <v>357</v>
      </c>
      <c r="C97" s="40" t="s">
        <v>358</v>
      </c>
      <c r="D97" s="33"/>
      <c r="E97" s="20" t="s">
        <v>359</v>
      </c>
      <c r="F97" s="14" t="s">
        <v>360</v>
      </c>
      <c r="G97" s="92" t="s">
        <v>168</v>
      </c>
      <c r="H97" s="17"/>
      <c r="I97" s="10"/>
      <c r="J97" s="38" t="s">
        <v>1103</v>
      </c>
      <c r="K97" s="33"/>
    </row>
    <row r="98" spans="1:11" s="4" customFormat="1" ht="51" x14ac:dyDescent="0.15">
      <c r="A98" s="13" t="s">
        <v>335</v>
      </c>
      <c r="B98" s="14" t="s">
        <v>362</v>
      </c>
      <c r="C98" s="24"/>
      <c r="D98" s="24" t="s">
        <v>363</v>
      </c>
      <c r="E98" s="20" t="s">
        <v>364</v>
      </c>
      <c r="F98" s="14" t="s">
        <v>148</v>
      </c>
      <c r="G98" s="20" t="s">
        <v>365</v>
      </c>
      <c r="H98" s="17"/>
      <c r="I98" s="10"/>
      <c r="J98" s="38" t="s">
        <v>1104</v>
      </c>
      <c r="K98" s="33"/>
    </row>
    <row r="99" spans="1:11" s="4" customFormat="1" ht="102" x14ac:dyDescent="0.15">
      <c r="A99" s="13" t="s">
        <v>341</v>
      </c>
      <c r="B99" s="14" t="s">
        <v>367</v>
      </c>
      <c r="C99" s="15" t="s">
        <v>368</v>
      </c>
      <c r="D99" s="33"/>
      <c r="E99" s="20" t="s">
        <v>369</v>
      </c>
      <c r="F99" s="14" t="s">
        <v>370</v>
      </c>
      <c r="G99" s="20" t="s">
        <v>371</v>
      </c>
      <c r="H99" s="17"/>
      <c r="I99" s="10"/>
      <c r="J99" s="38" t="s">
        <v>1012</v>
      </c>
      <c r="K99" s="33"/>
    </row>
    <row r="100" spans="1:11" s="4" customFormat="1" ht="68" x14ac:dyDescent="0.15">
      <c r="A100" s="13" t="s">
        <v>347</v>
      </c>
      <c r="B100" s="21" t="s">
        <v>373</v>
      </c>
      <c r="C100" s="15" t="s">
        <v>374</v>
      </c>
      <c r="D100" s="33"/>
      <c r="E100" s="14" t="s">
        <v>375</v>
      </c>
      <c r="F100" s="14" t="s">
        <v>376</v>
      </c>
      <c r="G100" s="20" t="s">
        <v>377</v>
      </c>
      <c r="H100" s="17"/>
      <c r="I100" s="10"/>
      <c r="J100" s="38" t="s">
        <v>1105</v>
      </c>
      <c r="K100" s="33"/>
    </row>
    <row r="101" spans="1:11" s="4" customFormat="1" ht="51" x14ac:dyDescent="0.15">
      <c r="A101" s="13" t="s">
        <v>1106</v>
      </c>
      <c r="B101" s="21" t="s">
        <v>379</v>
      </c>
      <c r="C101" s="15"/>
      <c r="D101" s="15" t="s">
        <v>380</v>
      </c>
      <c r="E101" s="20" t="s">
        <v>381</v>
      </c>
      <c r="F101" s="14" t="s">
        <v>382</v>
      </c>
      <c r="G101" s="20" t="s">
        <v>383</v>
      </c>
      <c r="H101" s="17"/>
      <c r="I101" s="10"/>
      <c r="J101" s="38" t="s">
        <v>1107</v>
      </c>
      <c r="K101" s="33"/>
    </row>
    <row r="102" spans="1:11" s="4" customFormat="1" ht="84.75" customHeight="1" x14ac:dyDescent="0.15">
      <c r="A102" s="13" t="s">
        <v>1108</v>
      </c>
      <c r="B102" s="30" t="s">
        <v>384</v>
      </c>
      <c r="C102" s="31"/>
      <c r="D102" s="31" t="s">
        <v>385</v>
      </c>
      <c r="E102" s="20" t="s">
        <v>386</v>
      </c>
      <c r="F102" s="14" t="s">
        <v>387</v>
      </c>
      <c r="G102" s="92" t="s">
        <v>388</v>
      </c>
      <c r="H102" s="17"/>
      <c r="I102" s="10"/>
      <c r="J102" s="38" t="s">
        <v>1109</v>
      </c>
      <c r="K102" s="33"/>
    </row>
    <row r="103" spans="1:11" s="4" customFormat="1" ht="51" x14ac:dyDescent="0.15">
      <c r="A103" s="13" t="s">
        <v>1110</v>
      </c>
      <c r="B103" s="30" t="s">
        <v>389</v>
      </c>
      <c r="C103" s="40"/>
      <c r="D103" s="40" t="s">
        <v>390</v>
      </c>
      <c r="E103" s="20" t="s">
        <v>391</v>
      </c>
      <c r="F103" s="14"/>
      <c r="G103" s="92" t="s">
        <v>392</v>
      </c>
      <c r="H103" s="17"/>
      <c r="I103" s="10"/>
      <c r="J103" s="38" t="s">
        <v>1111</v>
      </c>
      <c r="K103" s="33"/>
    </row>
    <row r="104" spans="1:11" s="4" customFormat="1" ht="51" x14ac:dyDescent="0.15">
      <c r="A104" s="13" t="s">
        <v>1112</v>
      </c>
      <c r="B104" s="30" t="s">
        <v>1113</v>
      </c>
      <c r="C104" s="40" t="s">
        <v>1114</v>
      </c>
      <c r="D104" s="33"/>
      <c r="E104" s="14" t="s">
        <v>1115</v>
      </c>
      <c r="F104" s="14" t="s">
        <v>1116</v>
      </c>
      <c r="G104" s="106" t="s">
        <v>1117</v>
      </c>
      <c r="H104" s="17"/>
      <c r="I104" s="10"/>
      <c r="J104" s="46" t="s">
        <v>1118</v>
      </c>
      <c r="K104" s="33"/>
    </row>
    <row r="105" spans="1:11" s="4" customFormat="1" ht="18.75" customHeight="1" x14ac:dyDescent="0.15">
      <c r="A105" s="12">
        <v>2</v>
      </c>
      <c r="B105" s="149" t="s">
        <v>1346</v>
      </c>
      <c r="C105" s="150"/>
      <c r="D105" s="150"/>
      <c r="E105" s="150"/>
      <c r="F105" s="150"/>
      <c r="G105" s="150"/>
      <c r="H105" s="150"/>
      <c r="I105" s="150"/>
      <c r="J105" s="150"/>
      <c r="K105" s="151"/>
    </row>
    <row r="106" spans="1:11" s="4" customFormat="1" ht="69" customHeight="1" x14ac:dyDescent="0.15">
      <c r="A106" s="13" t="s">
        <v>394</v>
      </c>
      <c r="B106" s="21" t="s">
        <v>395</v>
      </c>
      <c r="C106" s="15" t="s">
        <v>396</v>
      </c>
      <c r="D106" s="21"/>
      <c r="E106" s="20" t="s">
        <v>397</v>
      </c>
      <c r="F106" s="14" t="s">
        <v>398</v>
      </c>
      <c r="G106" s="20" t="s">
        <v>399</v>
      </c>
      <c r="H106" s="17"/>
      <c r="I106" s="14"/>
      <c r="J106" s="14" t="s">
        <v>1119</v>
      </c>
      <c r="K106" s="33"/>
    </row>
    <row r="107" spans="1:11" s="4" customFormat="1" ht="73.5" customHeight="1" x14ac:dyDescent="0.15">
      <c r="A107" s="13" t="s">
        <v>400</v>
      </c>
      <c r="B107" s="21" t="s">
        <v>401</v>
      </c>
      <c r="C107" s="15" t="s">
        <v>402</v>
      </c>
      <c r="D107" s="33"/>
      <c r="E107" s="20" t="s">
        <v>403</v>
      </c>
      <c r="F107" s="20" t="s">
        <v>404</v>
      </c>
      <c r="G107" s="20" t="s">
        <v>405</v>
      </c>
      <c r="H107" s="17"/>
      <c r="I107" s="10"/>
      <c r="J107" s="14" t="s">
        <v>1120</v>
      </c>
      <c r="K107" s="33"/>
    </row>
    <row r="108" spans="1:11" s="4" customFormat="1" ht="53.25" customHeight="1" x14ac:dyDescent="0.15">
      <c r="A108" s="13" t="s">
        <v>406</v>
      </c>
      <c r="B108" s="17" t="s">
        <v>407</v>
      </c>
      <c r="C108" s="13" t="s">
        <v>408</v>
      </c>
      <c r="D108" s="33"/>
      <c r="E108" s="19" t="s">
        <v>282</v>
      </c>
      <c r="F108" s="19" t="s">
        <v>87</v>
      </c>
      <c r="G108" s="19" t="s">
        <v>409</v>
      </c>
      <c r="H108" s="17"/>
      <c r="I108" s="10"/>
      <c r="J108" s="14" t="s">
        <v>1121</v>
      </c>
      <c r="K108" s="33"/>
    </row>
    <row r="109" spans="1:11" s="4" customFormat="1" ht="60" customHeight="1" x14ac:dyDescent="0.15">
      <c r="A109" s="13" t="s">
        <v>589</v>
      </c>
      <c r="B109" s="30" t="s">
        <v>1122</v>
      </c>
      <c r="C109" s="40" t="s">
        <v>1123</v>
      </c>
      <c r="D109" s="33"/>
      <c r="E109" s="36" t="s">
        <v>1124</v>
      </c>
      <c r="F109" s="14"/>
      <c r="G109" s="106" t="s">
        <v>1125</v>
      </c>
      <c r="H109" s="17"/>
      <c r="I109" s="10"/>
      <c r="J109" s="14" t="s">
        <v>1126</v>
      </c>
      <c r="K109" s="33"/>
    </row>
    <row r="110" spans="1:11" s="4" customFormat="1" ht="58.5" customHeight="1" x14ac:dyDescent="0.15">
      <c r="A110" s="13" t="s">
        <v>410</v>
      </c>
      <c r="B110" s="30" t="s">
        <v>411</v>
      </c>
      <c r="C110" s="40" t="s">
        <v>412</v>
      </c>
      <c r="D110" s="33"/>
      <c r="E110" s="19" t="s">
        <v>413</v>
      </c>
      <c r="F110" s="14"/>
      <c r="G110" s="92" t="s">
        <v>124</v>
      </c>
      <c r="H110" s="17"/>
      <c r="I110" s="10"/>
      <c r="J110" s="38" t="s">
        <v>1127</v>
      </c>
      <c r="K110" s="33"/>
    </row>
    <row r="111" spans="1:11" s="4" customFormat="1" ht="102" x14ac:dyDescent="0.15">
      <c r="A111" s="13" t="s">
        <v>414</v>
      </c>
      <c r="B111" s="17" t="s">
        <v>415</v>
      </c>
      <c r="C111" s="18"/>
      <c r="D111" s="18" t="s">
        <v>416</v>
      </c>
      <c r="E111" s="19" t="s">
        <v>417</v>
      </c>
      <c r="F111" s="14"/>
      <c r="G111" s="19" t="s">
        <v>87</v>
      </c>
      <c r="H111" s="17"/>
      <c r="I111" s="10"/>
      <c r="J111" s="14" t="s">
        <v>1128</v>
      </c>
      <c r="K111" s="33"/>
    </row>
    <row r="112" spans="1:11" s="4" customFormat="1" ht="85" x14ac:dyDescent="0.15">
      <c r="A112" s="13" t="s">
        <v>418</v>
      </c>
      <c r="B112" s="17" t="s">
        <v>419</v>
      </c>
      <c r="C112" s="18"/>
      <c r="D112" s="18" t="s">
        <v>420</v>
      </c>
      <c r="E112" s="19" t="s">
        <v>421</v>
      </c>
      <c r="F112" s="19" t="s">
        <v>228</v>
      </c>
      <c r="G112" s="19" t="s">
        <v>138</v>
      </c>
      <c r="H112" s="17"/>
      <c r="I112" s="10"/>
      <c r="J112" s="14" t="s">
        <v>1129</v>
      </c>
      <c r="K112" s="33"/>
    </row>
    <row r="113" spans="1:11" s="4" customFormat="1" ht="85" x14ac:dyDescent="0.15">
      <c r="A113" s="13" t="s">
        <v>422</v>
      </c>
      <c r="B113" s="17" t="s">
        <v>423</v>
      </c>
      <c r="C113" s="13"/>
      <c r="D113" s="13" t="s">
        <v>424</v>
      </c>
      <c r="E113" s="19" t="s">
        <v>425</v>
      </c>
      <c r="F113" s="19"/>
      <c r="G113" s="19" t="s">
        <v>87</v>
      </c>
      <c r="H113" s="17"/>
      <c r="I113" s="10"/>
      <c r="J113" s="14" t="s">
        <v>1130</v>
      </c>
      <c r="K113" s="33"/>
    </row>
    <row r="114" spans="1:11" s="4" customFormat="1" ht="85" x14ac:dyDescent="0.15">
      <c r="A114" s="13" t="s">
        <v>426</v>
      </c>
      <c r="B114" s="17" t="s">
        <v>427</v>
      </c>
      <c r="C114" s="13"/>
      <c r="D114" s="13" t="s">
        <v>428</v>
      </c>
      <c r="E114" s="19" t="s">
        <v>429</v>
      </c>
      <c r="F114" s="14"/>
      <c r="G114" s="19" t="s">
        <v>168</v>
      </c>
      <c r="H114" s="17"/>
      <c r="I114" s="10"/>
      <c r="J114" s="14" t="s">
        <v>1130</v>
      </c>
      <c r="K114" s="33"/>
    </row>
    <row r="115" spans="1:11" s="4" customFormat="1" ht="51" x14ac:dyDescent="0.15">
      <c r="A115" s="13" t="s">
        <v>430</v>
      </c>
      <c r="B115" s="21" t="s">
        <v>431</v>
      </c>
      <c r="C115" s="40"/>
      <c r="D115" s="40" t="s">
        <v>432</v>
      </c>
      <c r="E115" s="48" t="s">
        <v>433</v>
      </c>
      <c r="F115" s="14"/>
      <c r="G115" s="92" t="s">
        <v>77</v>
      </c>
      <c r="H115" s="17"/>
      <c r="I115" s="10"/>
      <c r="J115" s="14" t="s">
        <v>1131</v>
      </c>
      <c r="K115" s="33"/>
    </row>
    <row r="116" spans="1:11" s="4" customFormat="1" ht="68" x14ac:dyDescent="0.15">
      <c r="A116" s="13" t="s">
        <v>434</v>
      </c>
      <c r="B116" s="21" t="s">
        <v>435</v>
      </c>
      <c r="C116" s="15" t="s">
        <v>436</v>
      </c>
      <c r="D116" s="33"/>
      <c r="E116" s="20" t="s">
        <v>437</v>
      </c>
      <c r="F116" s="14"/>
      <c r="G116" s="20" t="s">
        <v>438</v>
      </c>
      <c r="H116" s="17"/>
      <c r="I116" s="10"/>
      <c r="J116" s="14" t="s">
        <v>1132</v>
      </c>
      <c r="K116" s="33"/>
    </row>
    <row r="117" spans="1:11" s="4" customFormat="1" ht="51" x14ac:dyDescent="0.15">
      <c r="A117" s="13" t="s">
        <v>439</v>
      </c>
      <c r="B117" s="21" t="s">
        <v>440</v>
      </c>
      <c r="C117" s="15" t="s">
        <v>441</v>
      </c>
      <c r="D117" s="33"/>
      <c r="E117" s="20" t="s">
        <v>442</v>
      </c>
      <c r="F117" s="14"/>
      <c r="G117" s="20" t="s">
        <v>443</v>
      </c>
      <c r="H117" s="17"/>
      <c r="I117" s="10"/>
      <c r="J117" s="14" t="s">
        <v>1095</v>
      </c>
      <c r="K117" s="33"/>
    </row>
    <row r="118" spans="1:11" s="4" customFormat="1" ht="58.5" customHeight="1" x14ac:dyDescent="0.15">
      <c r="A118" s="13" t="s">
        <v>444</v>
      </c>
      <c r="B118" s="17" t="s">
        <v>445</v>
      </c>
      <c r="C118" s="18"/>
      <c r="D118" s="18" t="s">
        <v>446</v>
      </c>
      <c r="E118" s="19" t="s">
        <v>447</v>
      </c>
      <c r="F118" s="19" t="s">
        <v>244</v>
      </c>
      <c r="G118" s="19" t="s">
        <v>448</v>
      </c>
      <c r="H118" s="17"/>
      <c r="I118" s="10"/>
      <c r="J118" s="14" t="s">
        <v>1133</v>
      </c>
      <c r="K118" s="33"/>
    </row>
    <row r="119" spans="1:11" s="4" customFormat="1" ht="102" x14ac:dyDescent="0.15">
      <c r="A119" s="13" t="s">
        <v>449</v>
      </c>
      <c r="B119" s="17" t="s">
        <v>450</v>
      </c>
      <c r="C119" s="13"/>
      <c r="D119" s="13" t="s">
        <v>451</v>
      </c>
      <c r="E119" s="19" t="s">
        <v>452</v>
      </c>
      <c r="F119" s="14"/>
      <c r="G119" s="19" t="s">
        <v>453</v>
      </c>
      <c r="H119" s="17"/>
      <c r="I119" s="10"/>
      <c r="J119" s="20" t="s">
        <v>1130</v>
      </c>
      <c r="K119" s="33"/>
    </row>
    <row r="120" spans="1:11" s="4" customFormat="1" ht="85" x14ac:dyDescent="0.15">
      <c r="A120" s="13" t="s">
        <v>454</v>
      </c>
      <c r="B120" s="17" t="s">
        <v>455</v>
      </c>
      <c r="C120" s="13" t="s">
        <v>456</v>
      </c>
      <c r="D120" s="33"/>
      <c r="E120" s="20" t="s">
        <v>457</v>
      </c>
      <c r="F120" s="20" t="s">
        <v>458</v>
      </c>
      <c r="G120" s="20" t="s">
        <v>459</v>
      </c>
      <c r="H120" s="17"/>
      <c r="I120" s="10"/>
      <c r="J120" s="14" t="s">
        <v>1130</v>
      </c>
      <c r="K120" s="33"/>
    </row>
    <row r="121" spans="1:11" s="4" customFormat="1" ht="68.25" customHeight="1" x14ac:dyDescent="0.15">
      <c r="A121" s="13" t="s">
        <v>460</v>
      </c>
      <c r="B121" s="21" t="s">
        <v>461</v>
      </c>
      <c r="C121" s="15" t="s">
        <v>462</v>
      </c>
      <c r="D121" s="33"/>
      <c r="E121" s="20" t="s">
        <v>463</v>
      </c>
      <c r="F121" s="14"/>
      <c r="G121" s="20" t="s">
        <v>1134</v>
      </c>
      <c r="H121" s="17"/>
      <c r="I121" s="10"/>
      <c r="J121" s="14" t="s">
        <v>1135</v>
      </c>
      <c r="K121" s="33"/>
    </row>
    <row r="122" spans="1:11" s="4" customFormat="1" ht="68" x14ac:dyDescent="0.15">
      <c r="A122" s="13" t="s">
        <v>465</v>
      </c>
      <c r="B122" s="21" t="s">
        <v>466</v>
      </c>
      <c r="C122" s="15" t="s">
        <v>467</v>
      </c>
      <c r="D122" s="33"/>
      <c r="E122" s="20" t="s">
        <v>468</v>
      </c>
      <c r="F122" s="14"/>
      <c r="G122" s="20" t="s">
        <v>469</v>
      </c>
      <c r="H122" s="17"/>
      <c r="I122" s="10"/>
      <c r="J122" s="14" t="s">
        <v>1095</v>
      </c>
      <c r="K122" s="33"/>
    </row>
    <row r="123" spans="1:11" s="4" customFormat="1" ht="68" x14ac:dyDescent="0.15">
      <c r="A123" s="13" t="s">
        <v>1136</v>
      </c>
      <c r="B123" s="30" t="s">
        <v>470</v>
      </c>
      <c r="C123" s="40" t="s">
        <v>471</v>
      </c>
      <c r="D123" s="33"/>
      <c r="E123" s="19" t="s">
        <v>472</v>
      </c>
      <c r="F123" s="14"/>
      <c r="G123" s="92" t="s">
        <v>473</v>
      </c>
      <c r="H123" s="17"/>
      <c r="I123" s="10"/>
      <c r="J123" s="14" t="s">
        <v>1137</v>
      </c>
      <c r="K123" s="33"/>
    </row>
    <row r="124" spans="1:11" s="4" customFormat="1" ht="68" x14ac:dyDescent="0.15">
      <c r="A124" s="13" t="s">
        <v>1138</v>
      </c>
      <c r="B124" s="30" t="s">
        <v>1139</v>
      </c>
      <c r="C124" s="42" t="s">
        <v>1140</v>
      </c>
      <c r="D124" s="33"/>
      <c r="E124" s="36" t="s">
        <v>1141</v>
      </c>
      <c r="F124" s="14"/>
      <c r="G124" s="108" t="s">
        <v>1142</v>
      </c>
      <c r="H124" s="17"/>
      <c r="I124" s="10"/>
      <c r="J124" s="14" t="s">
        <v>1143</v>
      </c>
      <c r="K124" s="33"/>
    </row>
    <row r="125" spans="1:11" s="4" customFormat="1" ht="85" x14ac:dyDescent="0.15">
      <c r="A125" s="13" t="s">
        <v>1144</v>
      </c>
      <c r="B125" s="21" t="s">
        <v>1145</v>
      </c>
      <c r="C125" s="15" t="s">
        <v>1146</v>
      </c>
      <c r="D125" s="33"/>
      <c r="E125" s="14" t="s">
        <v>1147</v>
      </c>
      <c r="F125" s="14"/>
      <c r="G125" s="14"/>
      <c r="H125" s="17"/>
      <c r="I125" s="14" t="s">
        <v>1148</v>
      </c>
      <c r="J125" s="46" t="s">
        <v>1149</v>
      </c>
      <c r="K125" s="33"/>
    </row>
    <row r="126" spans="1:11" s="4" customFormat="1" ht="18.75" customHeight="1" x14ac:dyDescent="0.15">
      <c r="A126" s="12" t="s">
        <v>474</v>
      </c>
      <c r="B126" s="49" t="s">
        <v>475</v>
      </c>
      <c r="C126" s="50"/>
      <c r="D126" s="33"/>
      <c r="E126" s="10"/>
      <c r="F126" s="10"/>
      <c r="G126" s="10"/>
      <c r="H126" s="49"/>
      <c r="I126" s="10"/>
      <c r="J126" s="10"/>
      <c r="K126" s="33"/>
    </row>
    <row r="127" spans="1:11" s="4" customFormat="1" ht="18.75" customHeight="1" x14ac:dyDescent="0.15">
      <c r="A127" s="12">
        <v>1</v>
      </c>
      <c r="B127" s="149" t="s">
        <v>1347</v>
      </c>
      <c r="C127" s="150"/>
      <c r="D127" s="150"/>
      <c r="E127" s="150"/>
      <c r="F127" s="150"/>
      <c r="G127" s="150"/>
      <c r="H127" s="150"/>
      <c r="I127" s="150"/>
      <c r="J127" s="150"/>
      <c r="K127" s="151"/>
    </row>
    <row r="128" spans="1:11" s="4" customFormat="1" ht="68" x14ac:dyDescent="0.15">
      <c r="A128" s="16" t="s">
        <v>16</v>
      </c>
      <c r="B128" s="14" t="s">
        <v>476</v>
      </c>
      <c r="C128" s="15" t="s">
        <v>477</v>
      </c>
      <c r="D128" s="33"/>
      <c r="E128" s="14" t="s">
        <v>478</v>
      </c>
      <c r="F128" s="14" t="s">
        <v>479</v>
      </c>
      <c r="G128" s="20" t="s">
        <v>480</v>
      </c>
      <c r="H128" s="14"/>
      <c r="I128" s="10"/>
      <c r="J128" s="14" t="s">
        <v>1150</v>
      </c>
      <c r="K128" s="33"/>
    </row>
    <row r="129" spans="1:11" s="4" customFormat="1" ht="57" customHeight="1" x14ac:dyDescent="0.15">
      <c r="A129" s="16" t="s">
        <v>50</v>
      </c>
      <c r="B129" s="21" t="s">
        <v>481</v>
      </c>
      <c r="C129" s="31"/>
      <c r="D129" s="15" t="s">
        <v>1151</v>
      </c>
      <c r="E129" s="14" t="s">
        <v>1152</v>
      </c>
      <c r="F129" s="14"/>
      <c r="G129" s="14" t="s">
        <v>355</v>
      </c>
      <c r="H129" s="14"/>
      <c r="I129" s="10"/>
      <c r="J129" s="14" t="s">
        <v>1153</v>
      </c>
      <c r="K129" s="33"/>
    </row>
    <row r="130" spans="1:11" s="4" customFormat="1" ht="68" x14ac:dyDescent="0.15">
      <c r="A130" s="16" t="s">
        <v>113</v>
      </c>
      <c r="B130" s="21" t="s">
        <v>482</v>
      </c>
      <c r="C130" s="31"/>
      <c r="D130" s="15" t="s">
        <v>483</v>
      </c>
      <c r="E130" s="14" t="s">
        <v>484</v>
      </c>
      <c r="F130" s="14" t="s">
        <v>485</v>
      </c>
      <c r="G130" s="14" t="s">
        <v>377</v>
      </c>
      <c r="H130" s="14"/>
      <c r="I130" s="10"/>
      <c r="J130" s="14" t="s">
        <v>1154</v>
      </c>
      <c r="K130" s="33"/>
    </row>
    <row r="131" spans="1:11" s="4" customFormat="1" ht="41.25" customHeight="1" x14ac:dyDescent="0.15">
      <c r="A131" s="16" t="s">
        <v>155</v>
      </c>
      <c r="B131" s="14" t="s">
        <v>486</v>
      </c>
      <c r="C131" s="15" t="s">
        <v>487</v>
      </c>
      <c r="D131" s="33"/>
      <c r="E131" s="14" t="s">
        <v>488</v>
      </c>
      <c r="F131" s="14"/>
      <c r="G131" s="14" t="s">
        <v>489</v>
      </c>
      <c r="H131" s="14"/>
      <c r="I131" s="10"/>
      <c r="J131" s="14" t="s">
        <v>1155</v>
      </c>
      <c r="K131" s="33"/>
    </row>
    <row r="132" spans="1:11" s="4" customFormat="1" ht="67.5" customHeight="1" x14ac:dyDescent="0.15">
      <c r="A132" s="16" t="s">
        <v>212</v>
      </c>
      <c r="B132" s="14" t="s">
        <v>490</v>
      </c>
      <c r="C132" s="31">
        <v>31100</v>
      </c>
      <c r="D132" s="33"/>
      <c r="E132" s="14" t="s">
        <v>491</v>
      </c>
      <c r="F132" s="14" t="s">
        <v>492</v>
      </c>
      <c r="G132" s="14" t="s">
        <v>493</v>
      </c>
      <c r="H132" s="14"/>
      <c r="I132" s="10"/>
      <c r="J132" s="14" t="s">
        <v>1156</v>
      </c>
      <c r="K132" s="33"/>
    </row>
    <row r="133" spans="1:11" s="4" customFormat="1" ht="51" x14ac:dyDescent="0.15">
      <c r="A133" s="16" t="s">
        <v>267</v>
      </c>
      <c r="B133" s="14" t="s">
        <v>494</v>
      </c>
      <c r="C133" s="15"/>
      <c r="D133" s="15" t="s">
        <v>495</v>
      </c>
      <c r="E133" s="14" t="s">
        <v>496</v>
      </c>
      <c r="F133" s="14"/>
      <c r="G133" s="14" t="s">
        <v>497</v>
      </c>
      <c r="H133" s="14"/>
      <c r="I133" s="10"/>
      <c r="J133" s="14" t="s">
        <v>1157</v>
      </c>
      <c r="K133" s="33"/>
    </row>
    <row r="134" spans="1:11" s="4" customFormat="1" ht="68" x14ac:dyDescent="0.15">
      <c r="A134" s="16" t="s">
        <v>323</v>
      </c>
      <c r="B134" s="14" t="s">
        <v>498</v>
      </c>
      <c r="C134" s="32"/>
      <c r="D134" s="32" t="s">
        <v>499</v>
      </c>
      <c r="E134" s="14" t="s">
        <v>500</v>
      </c>
      <c r="F134" s="14" t="s">
        <v>501</v>
      </c>
      <c r="G134" s="14" t="s">
        <v>502</v>
      </c>
      <c r="H134" s="14"/>
      <c r="I134" s="10"/>
      <c r="J134" s="14" t="s">
        <v>1156</v>
      </c>
      <c r="K134" s="33"/>
    </row>
    <row r="135" spans="1:11" s="4" customFormat="1" ht="51" x14ac:dyDescent="0.15">
      <c r="A135" s="16" t="s">
        <v>351</v>
      </c>
      <c r="B135" s="14" t="s">
        <v>1158</v>
      </c>
      <c r="C135" s="32" t="s">
        <v>1159</v>
      </c>
      <c r="D135" s="33"/>
      <c r="E135" s="14" t="s">
        <v>506</v>
      </c>
      <c r="F135" s="14"/>
      <c r="G135" s="14" t="s">
        <v>497</v>
      </c>
      <c r="H135" s="14"/>
      <c r="I135" s="10"/>
      <c r="J135" s="14" t="s">
        <v>1160</v>
      </c>
      <c r="K135" s="33"/>
    </row>
    <row r="136" spans="1:11" s="4" customFormat="1" ht="85" x14ac:dyDescent="0.15">
      <c r="A136" s="16" t="s">
        <v>503</v>
      </c>
      <c r="B136" s="14" t="s">
        <v>504</v>
      </c>
      <c r="C136" s="32"/>
      <c r="D136" s="32" t="s">
        <v>505</v>
      </c>
      <c r="E136" s="14" t="s">
        <v>506</v>
      </c>
      <c r="F136" s="14" t="s">
        <v>501</v>
      </c>
      <c r="G136" s="14" t="s">
        <v>507</v>
      </c>
      <c r="H136" s="14"/>
      <c r="I136" s="10"/>
      <c r="J136" s="14" t="s">
        <v>1160</v>
      </c>
      <c r="K136" s="33"/>
    </row>
    <row r="137" spans="1:11" s="4" customFormat="1" ht="51" x14ac:dyDescent="0.15">
      <c r="A137" s="16" t="s">
        <v>847</v>
      </c>
      <c r="B137" s="14" t="s">
        <v>1161</v>
      </c>
      <c r="C137" s="32" t="s">
        <v>1162</v>
      </c>
      <c r="D137" s="33"/>
      <c r="E137" s="14" t="s">
        <v>506</v>
      </c>
      <c r="F137" s="14" t="s">
        <v>1163</v>
      </c>
      <c r="G137" s="14" t="s">
        <v>1117</v>
      </c>
      <c r="H137" s="14"/>
      <c r="I137" s="10"/>
      <c r="J137" s="14" t="s">
        <v>1160</v>
      </c>
      <c r="K137" s="33"/>
    </row>
    <row r="138" spans="1:11" s="4" customFormat="1" ht="70.5" customHeight="1" x14ac:dyDescent="0.15">
      <c r="A138" s="16" t="s">
        <v>508</v>
      </c>
      <c r="B138" s="17" t="s">
        <v>509</v>
      </c>
      <c r="C138" s="51" t="s">
        <v>510</v>
      </c>
      <c r="D138" s="33"/>
      <c r="E138" s="14" t="s">
        <v>491</v>
      </c>
      <c r="F138" s="14" t="s">
        <v>502</v>
      </c>
      <c r="G138" s="14" t="s">
        <v>502</v>
      </c>
      <c r="H138" s="17"/>
      <c r="I138" s="10"/>
      <c r="J138" s="14" t="s">
        <v>1160</v>
      </c>
      <c r="K138" s="33"/>
    </row>
    <row r="139" spans="1:11" s="4" customFormat="1" ht="68" x14ac:dyDescent="0.15">
      <c r="A139" s="16" t="s">
        <v>511</v>
      </c>
      <c r="B139" s="14" t="s">
        <v>512</v>
      </c>
      <c r="C139" s="40"/>
      <c r="D139" s="42" t="s">
        <v>513</v>
      </c>
      <c r="E139" s="20" t="s">
        <v>514</v>
      </c>
      <c r="F139" s="93"/>
      <c r="G139" s="92" t="s">
        <v>66</v>
      </c>
      <c r="H139" s="17"/>
      <c r="I139" s="10"/>
      <c r="J139" s="14" t="s">
        <v>1164</v>
      </c>
      <c r="K139" s="33"/>
    </row>
    <row r="140" spans="1:11" s="4" customFormat="1" ht="72.75" customHeight="1" x14ac:dyDescent="0.15">
      <c r="A140" s="16" t="s">
        <v>515</v>
      </c>
      <c r="B140" s="17" t="s">
        <v>516</v>
      </c>
      <c r="C140" s="52" t="s">
        <v>517</v>
      </c>
      <c r="D140" s="33"/>
      <c r="E140" s="20" t="s">
        <v>518</v>
      </c>
      <c r="F140" s="17"/>
      <c r="G140" s="20" t="s">
        <v>519</v>
      </c>
      <c r="H140" s="17"/>
      <c r="I140" s="10"/>
      <c r="J140" s="14" t="s">
        <v>1164</v>
      </c>
      <c r="K140" s="33"/>
    </row>
    <row r="141" spans="1:11" s="4" customFormat="1" ht="57.75" customHeight="1" x14ac:dyDescent="0.15">
      <c r="A141" s="16" t="s">
        <v>520</v>
      </c>
      <c r="B141" s="14" t="s">
        <v>521</v>
      </c>
      <c r="C141" s="32" t="s">
        <v>396</v>
      </c>
      <c r="D141" s="33"/>
      <c r="E141" s="20" t="s">
        <v>522</v>
      </c>
      <c r="F141" s="19" t="s">
        <v>523</v>
      </c>
      <c r="G141" s="20" t="s">
        <v>524</v>
      </c>
      <c r="H141" s="14"/>
      <c r="I141" s="10"/>
      <c r="J141" s="14" t="s">
        <v>1160</v>
      </c>
      <c r="K141" s="33"/>
    </row>
    <row r="142" spans="1:11" s="4" customFormat="1" ht="57.75" customHeight="1" x14ac:dyDescent="0.15">
      <c r="A142" s="16" t="s">
        <v>525</v>
      </c>
      <c r="B142" s="14" t="s">
        <v>526</v>
      </c>
      <c r="C142" s="32" t="s">
        <v>527</v>
      </c>
      <c r="D142" s="33"/>
      <c r="E142" s="20" t="s">
        <v>528</v>
      </c>
      <c r="F142" s="14"/>
      <c r="G142" s="20" t="s">
        <v>529</v>
      </c>
      <c r="H142" s="14"/>
      <c r="I142" s="10"/>
      <c r="J142" s="14" t="s">
        <v>1160</v>
      </c>
      <c r="K142" s="33"/>
    </row>
    <row r="143" spans="1:11" s="4" customFormat="1" ht="85" x14ac:dyDescent="0.15">
      <c r="A143" s="16" t="s">
        <v>848</v>
      </c>
      <c r="B143" s="17" t="s">
        <v>1165</v>
      </c>
      <c r="C143" s="52" t="s">
        <v>1166</v>
      </c>
      <c r="D143" s="33"/>
      <c r="E143" s="14" t="s">
        <v>1167</v>
      </c>
      <c r="F143" s="49"/>
      <c r="G143" s="14" t="s">
        <v>1168</v>
      </c>
      <c r="H143" s="17"/>
      <c r="I143" s="10"/>
      <c r="J143" s="14" t="s">
        <v>1164</v>
      </c>
      <c r="K143" s="33"/>
    </row>
    <row r="144" spans="1:11" s="4" customFormat="1" ht="68" x14ac:dyDescent="0.15">
      <c r="A144" s="16" t="s">
        <v>530</v>
      </c>
      <c r="B144" s="17" t="s">
        <v>531</v>
      </c>
      <c r="C144" s="52"/>
      <c r="D144" s="52" t="s">
        <v>532</v>
      </c>
      <c r="E144" s="14" t="s">
        <v>70</v>
      </c>
      <c r="F144" s="10"/>
      <c r="G144" s="109" t="s">
        <v>533</v>
      </c>
      <c r="H144" s="17"/>
      <c r="I144" s="10"/>
      <c r="J144" s="14" t="s">
        <v>1164</v>
      </c>
      <c r="K144" s="33"/>
    </row>
    <row r="145" spans="1:11" s="4" customFormat="1" ht="68" x14ac:dyDescent="0.15">
      <c r="A145" s="16" t="s">
        <v>534</v>
      </c>
      <c r="B145" s="26" t="s">
        <v>535</v>
      </c>
      <c r="C145" s="52"/>
      <c r="D145" s="53" t="s">
        <v>536</v>
      </c>
      <c r="E145" s="20" t="s">
        <v>537</v>
      </c>
      <c r="F145" s="49"/>
      <c r="G145" s="20" t="s">
        <v>538</v>
      </c>
      <c r="H145" s="17"/>
      <c r="I145" s="10"/>
      <c r="J145" s="14" t="s">
        <v>1164</v>
      </c>
      <c r="K145" s="33"/>
    </row>
    <row r="146" spans="1:11" s="4" customFormat="1" ht="56.25" customHeight="1" x14ac:dyDescent="0.15">
      <c r="A146" s="16" t="s">
        <v>539</v>
      </c>
      <c r="B146" s="17" t="s">
        <v>540</v>
      </c>
      <c r="C146" s="51" t="s">
        <v>541</v>
      </c>
      <c r="D146" s="33"/>
      <c r="E146" s="20" t="s">
        <v>542</v>
      </c>
      <c r="F146" s="19" t="s">
        <v>543</v>
      </c>
      <c r="G146" s="20" t="s">
        <v>77</v>
      </c>
      <c r="H146" s="17"/>
      <c r="I146" s="10"/>
      <c r="J146" s="14" t="s">
        <v>1160</v>
      </c>
      <c r="K146" s="33"/>
    </row>
    <row r="147" spans="1:11" s="4" customFormat="1" ht="51" x14ac:dyDescent="0.15">
      <c r="A147" s="16" t="s">
        <v>544</v>
      </c>
      <c r="B147" s="14" t="s">
        <v>545</v>
      </c>
      <c r="C147" s="32" t="s">
        <v>546</v>
      </c>
      <c r="D147" s="33"/>
      <c r="E147" s="36" t="s">
        <v>413</v>
      </c>
      <c r="F147" s="10"/>
      <c r="G147" s="36" t="s">
        <v>547</v>
      </c>
      <c r="H147" s="14"/>
      <c r="I147" s="10"/>
      <c r="J147" s="14" t="s">
        <v>1169</v>
      </c>
      <c r="K147" s="33"/>
    </row>
    <row r="148" spans="1:11" s="4" customFormat="1" ht="51" x14ac:dyDescent="0.15">
      <c r="A148" s="16" t="s">
        <v>548</v>
      </c>
      <c r="B148" s="14" t="s">
        <v>549</v>
      </c>
      <c r="C148" s="31">
        <v>34953</v>
      </c>
      <c r="D148" s="33"/>
      <c r="E148" s="36" t="s">
        <v>413</v>
      </c>
      <c r="F148" s="10"/>
      <c r="G148" s="14" t="s">
        <v>550</v>
      </c>
      <c r="H148" s="14"/>
      <c r="I148" s="10"/>
      <c r="J148" s="14" t="s">
        <v>1169</v>
      </c>
      <c r="K148" s="33"/>
    </row>
    <row r="149" spans="1:11" s="4" customFormat="1" ht="51" x14ac:dyDescent="0.15">
      <c r="A149" s="16" t="s">
        <v>551</v>
      </c>
      <c r="B149" s="21" t="s">
        <v>552</v>
      </c>
      <c r="C149" s="15" t="s">
        <v>553</v>
      </c>
      <c r="D149" s="33"/>
      <c r="E149" s="20" t="s">
        <v>554</v>
      </c>
      <c r="F149" s="20" t="s">
        <v>298</v>
      </c>
      <c r="G149" s="20" t="s">
        <v>92</v>
      </c>
      <c r="H149" s="20" t="s">
        <v>92</v>
      </c>
      <c r="I149" s="10"/>
      <c r="J149" s="14" t="s">
        <v>1170</v>
      </c>
      <c r="K149" s="33"/>
    </row>
    <row r="150" spans="1:11" s="4" customFormat="1" ht="68" x14ac:dyDescent="0.15">
      <c r="A150" s="16" t="s">
        <v>555</v>
      </c>
      <c r="B150" s="21" t="s">
        <v>556</v>
      </c>
      <c r="C150" s="16"/>
      <c r="D150" s="16" t="s">
        <v>557</v>
      </c>
      <c r="E150" s="20" t="s">
        <v>558</v>
      </c>
      <c r="F150" s="20" t="s">
        <v>559</v>
      </c>
      <c r="G150" s="20" t="s">
        <v>538</v>
      </c>
      <c r="H150" s="17"/>
      <c r="I150" s="10"/>
      <c r="J150" s="14" t="s">
        <v>1171</v>
      </c>
      <c r="K150" s="33"/>
    </row>
    <row r="151" spans="1:11" s="4" customFormat="1" ht="68" x14ac:dyDescent="0.15">
      <c r="A151" s="16" t="s">
        <v>849</v>
      </c>
      <c r="B151" s="21" t="s">
        <v>1172</v>
      </c>
      <c r="C151" s="16"/>
      <c r="D151" s="16" t="s">
        <v>1173</v>
      </c>
      <c r="E151" s="14" t="s">
        <v>1174</v>
      </c>
      <c r="F151" s="14"/>
      <c r="G151" s="14" t="s">
        <v>1175</v>
      </c>
      <c r="H151" s="17"/>
      <c r="I151" s="10"/>
      <c r="J151" s="14" t="s">
        <v>1171</v>
      </c>
      <c r="K151" s="33"/>
    </row>
    <row r="152" spans="1:11" s="4" customFormat="1" ht="51" x14ac:dyDescent="0.15">
      <c r="A152" s="16" t="s">
        <v>560</v>
      </c>
      <c r="B152" s="21" t="s">
        <v>561</v>
      </c>
      <c r="C152" s="16"/>
      <c r="D152" s="16" t="s">
        <v>562</v>
      </c>
      <c r="E152" s="14" t="s">
        <v>563</v>
      </c>
      <c r="F152" s="14"/>
      <c r="G152" s="14" t="s">
        <v>255</v>
      </c>
      <c r="H152" s="17"/>
      <c r="I152" s="10"/>
      <c r="J152" s="14" t="s">
        <v>1171</v>
      </c>
      <c r="K152" s="33"/>
    </row>
    <row r="153" spans="1:11" s="4" customFormat="1" ht="51" x14ac:dyDescent="0.15">
      <c r="A153" s="16" t="s">
        <v>910</v>
      </c>
      <c r="B153" s="21" t="s">
        <v>1176</v>
      </c>
      <c r="C153" s="16"/>
      <c r="D153" s="16" t="s">
        <v>1177</v>
      </c>
      <c r="E153" s="46" t="s">
        <v>1178</v>
      </c>
      <c r="F153" s="14"/>
      <c r="G153" s="14" t="s">
        <v>489</v>
      </c>
      <c r="H153" s="14" t="s">
        <v>92</v>
      </c>
      <c r="I153" s="10"/>
      <c r="J153" s="14" t="s">
        <v>1171</v>
      </c>
      <c r="K153" s="33"/>
    </row>
    <row r="154" spans="1:11" s="4" customFormat="1" ht="68" x14ac:dyDescent="0.15">
      <c r="A154" s="16" t="s">
        <v>911</v>
      </c>
      <c r="B154" s="21" t="s">
        <v>1179</v>
      </c>
      <c r="C154" s="15" t="s">
        <v>564</v>
      </c>
      <c r="D154" s="33"/>
      <c r="E154" s="46" t="s">
        <v>1180</v>
      </c>
      <c r="F154" s="14"/>
      <c r="G154" s="14" t="s">
        <v>92</v>
      </c>
      <c r="H154" s="14" t="s">
        <v>92</v>
      </c>
      <c r="I154" s="10"/>
      <c r="J154" s="14" t="s">
        <v>1181</v>
      </c>
      <c r="K154" s="33"/>
    </row>
    <row r="155" spans="1:11" s="4" customFormat="1" ht="68" x14ac:dyDescent="0.15">
      <c r="A155" s="16" t="s">
        <v>912</v>
      </c>
      <c r="B155" s="21" t="s">
        <v>1182</v>
      </c>
      <c r="C155" s="16"/>
      <c r="D155" s="16" t="s">
        <v>1183</v>
      </c>
      <c r="E155" s="46" t="s">
        <v>565</v>
      </c>
      <c r="F155" s="14"/>
      <c r="G155" s="14" t="s">
        <v>1184</v>
      </c>
      <c r="H155" s="17"/>
      <c r="I155" s="10"/>
      <c r="J155" s="14" t="s">
        <v>1171</v>
      </c>
      <c r="K155" s="33"/>
    </row>
    <row r="156" spans="1:11" s="4" customFormat="1" ht="85" x14ac:dyDescent="0.15">
      <c r="A156" s="16" t="s">
        <v>913</v>
      </c>
      <c r="B156" s="21" t="s">
        <v>566</v>
      </c>
      <c r="C156" s="16"/>
      <c r="D156" s="16" t="s">
        <v>567</v>
      </c>
      <c r="E156" s="38" t="s">
        <v>568</v>
      </c>
      <c r="F156" s="14"/>
      <c r="G156" s="20" t="s">
        <v>92</v>
      </c>
      <c r="H156" s="20" t="s">
        <v>92</v>
      </c>
      <c r="I156" s="10"/>
      <c r="J156" s="14" t="s">
        <v>1171</v>
      </c>
      <c r="K156" s="33"/>
    </row>
    <row r="157" spans="1:11" s="4" customFormat="1" ht="153" x14ac:dyDescent="0.15">
      <c r="A157" s="16" t="s">
        <v>914</v>
      </c>
      <c r="B157" s="21" t="s">
        <v>569</v>
      </c>
      <c r="C157" s="16"/>
      <c r="D157" s="16" t="s">
        <v>570</v>
      </c>
      <c r="E157" s="38" t="s">
        <v>571</v>
      </c>
      <c r="F157" s="14"/>
      <c r="G157" s="14"/>
      <c r="H157" s="20" t="s">
        <v>572</v>
      </c>
      <c r="I157" s="10"/>
      <c r="J157" s="14" t="s">
        <v>1171</v>
      </c>
      <c r="K157" s="33"/>
    </row>
    <row r="158" spans="1:11" s="4" customFormat="1" ht="68" x14ac:dyDescent="0.15">
      <c r="A158" s="16" t="s">
        <v>915</v>
      </c>
      <c r="B158" s="21" t="s">
        <v>1185</v>
      </c>
      <c r="C158" s="15" t="s">
        <v>1186</v>
      </c>
      <c r="D158" s="33"/>
      <c r="E158" s="46" t="s">
        <v>1187</v>
      </c>
      <c r="F158" s="14"/>
      <c r="G158" s="14" t="s">
        <v>162</v>
      </c>
      <c r="H158" s="17"/>
      <c r="I158" s="10"/>
      <c r="J158" s="14" t="s">
        <v>1171</v>
      </c>
      <c r="K158" s="33"/>
    </row>
    <row r="159" spans="1:11" s="4" customFormat="1" ht="51" x14ac:dyDescent="0.15">
      <c r="A159" s="16" t="s">
        <v>916</v>
      </c>
      <c r="B159" s="14" t="s">
        <v>573</v>
      </c>
      <c r="C159" s="32"/>
      <c r="D159" s="32" t="s">
        <v>574</v>
      </c>
      <c r="E159" s="14" t="s">
        <v>575</v>
      </c>
      <c r="F159" s="14"/>
      <c r="G159" s="14" t="s">
        <v>77</v>
      </c>
      <c r="H159" s="14"/>
      <c r="I159" s="10"/>
      <c r="J159" s="14" t="s">
        <v>1160</v>
      </c>
      <c r="K159" s="33"/>
    </row>
    <row r="160" spans="1:11" s="4" customFormat="1" ht="16" x14ac:dyDescent="0.15">
      <c r="A160" s="12">
        <v>2</v>
      </c>
      <c r="B160" s="149" t="s">
        <v>1348</v>
      </c>
      <c r="C160" s="150"/>
      <c r="D160" s="150"/>
      <c r="E160" s="150"/>
      <c r="F160" s="150"/>
      <c r="G160" s="150"/>
      <c r="H160" s="150"/>
      <c r="I160" s="150"/>
      <c r="J160" s="150"/>
      <c r="K160" s="151"/>
    </row>
    <row r="161" spans="1:11" s="4" customFormat="1" ht="68" x14ac:dyDescent="0.15">
      <c r="A161" s="16" t="s">
        <v>394</v>
      </c>
      <c r="B161" s="14" t="s">
        <v>275</v>
      </c>
      <c r="C161" s="16" t="s">
        <v>576</v>
      </c>
      <c r="D161" s="21"/>
      <c r="E161" s="20" t="s">
        <v>577</v>
      </c>
      <c r="F161" s="19" t="s">
        <v>578</v>
      </c>
      <c r="G161" s="20" t="s">
        <v>579</v>
      </c>
      <c r="H161" s="14"/>
      <c r="I161" s="10"/>
      <c r="J161" s="54" t="s">
        <v>1188</v>
      </c>
      <c r="K161" s="33"/>
    </row>
    <row r="162" spans="1:11" s="4" customFormat="1" ht="51" x14ac:dyDescent="0.15">
      <c r="A162" s="16" t="s">
        <v>400</v>
      </c>
      <c r="B162" s="21" t="s">
        <v>580</v>
      </c>
      <c r="C162" s="16" t="s">
        <v>581</v>
      </c>
      <c r="D162" s="33"/>
      <c r="E162" s="20" t="s">
        <v>582</v>
      </c>
      <c r="F162" s="14" t="s">
        <v>583</v>
      </c>
      <c r="G162" s="20" t="s">
        <v>584</v>
      </c>
      <c r="H162" s="14"/>
      <c r="I162" s="10"/>
      <c r="J162" s="14" t="s">
        <v>1189</v>
      </c>
      <c r="K162" s="33"/>
    </row>
    <row r="163" spans="1:11" s="4" customFormat="1" ht="51" x14ac:dyDescent="0.15">
      <c r="A163" s="16" t="s">
        <v>406</v>
      </c>
      <c r="B163" s="14" t="s">
        <v>585</v>
      </c>
      <c r="C163" s="16" t="s">
        <v>586</v>
      </c>
      <c r="D163" s="33"/>
      <c r="E163" s="20" t="s">
        <v>587</v>
      </c>
      <c r="F163" s="19" t="s">
        <v>298</v>
      </c>
      <c r="G163" s="20" t="s">
        <v>588</v>
      </c>
      <c r="H163" s="14"/>
      <c r="I163" s="10"/>
      <c r="J163" s="54" t="s">
        <v>1190</v>
      </c>
      <c r="K163" s="33"/>
    </row>
    <row r="164" spans="1:11" s="4" customFormat="1" ht="68" x14ac:dyDescent="0.15">
      <c r="A164" s="16" t="s">
        <v>589</v>
      </c>
      <c r="B164" s="14" t="s">
        <v>590</v>
      </c>
      <c r="C164" s="16" t="s">
        <v>591</v>
      </c>
      <c r="D164" s="33"/>
      <c r="E164" s="20" t="s">
        <v>592</v>
      </c>
      <c r="F164" s="19" t="s">
        <v>298</v>
      </c>
      <c r="G164" s="20" t="s">
        <v>588</v>
      </c>
      <c r="H164" s="14"/>
      <c r="I164" s="10"/>
      <c r="J164" s="54" t="s">
        <v>1190</v>
      </c>
      <c r="K164" s="33"/>
    </row>
    <row r="165" spans="1:11" s="4" customFormat="1" ht="51" x14ac:dyDescent="0.15">
      <c r="A165" s="16" t="s">
        <v>410</v>
      </c>
      <c r="B165" s="21" t="s">
        <v>1191</v>
      </c>
      <c r="C165" s="16"/>
      <c r="D165" s="16" t="s">
        <v>1192</v>
      </c>
      <c r="E165" s="14" t="s">
        <v>1193</v>
      </c>
      <c r="F165" s="14"/>
      <c r="G165" s="14" t="s">
        <v>56</v>
      </c>
      <c r="H165" s="14"/>
      <c r="I165" s="10"/>
      <c r="J165" s="14" t="s">
        <v>1194</v>
      </c>
      <c r="K165" s="33"/>
    </row>
    <row r="166" spans="1:11" s="4" customFormat="1" ht="68" x14ac:dyDescent="0.15">
      <c r="A166" s="16" t="s">
        <v>414</v>
      </c>
      <c r="B166" s="14" t="s">
        <v>1195</v>
      </c>
      <c r="C166" s="31"/>
      <c r="D166" s="15" t="s">
        <v>1196</v>
      </c>
      <c r="E166" s="14" t="s">
        <v>1197</v>
      </c>
      <c r="F166" s="14"/>
      <c r="G166" s="14" t="s">
        <v>1198</v>
      </c>
      <c r="H166" s="14"/>
      <c r="I166" s="10"/>
      <c r="J166" s="14" t="s">
        <v>1155</v>
      </c>
      <c r="K166" s="33"/>
    </row>
    <row r="167" spans="1:11" s="4" customFormat="1" ht="68" x14ac:dyDescent="0.15">
      <c r="A167" s="16" t="s">
        <v>418</v>
      </c>
      <c r="B167" s="14" t="s">
        <v>593</v>
      </c>
      <c r="C167" s="32"/>
      <c r="D167" s="32" t="s">
        <v>594</v>
      </c>
      <c r="E167" s="20" t="s">
        <v>595</v>
      </c>
      <c r="F167" s="19"/>
      <c r="G167" s="20" t="s">
        <v>588</v>
      </c>
      <c r="H167" s="14"/>
      <c r="I167" s="10"/>
      <c r="J167" s="14" t="s">
        <v>1199</v>
      </c>
      <c r="K167" s="33"/>
    </row>
    <row r="168" spans="1:11" s="4" customFormat="1" ht="51" x14ac:dyDescent="0.15">
      <c r="A168" s="16" t="s">
        <v>422</v>
      </c>
      <c r="B168" s="14" t="s">
        <v>596</v>
      </c>
      <c r="C168" s="32"/>
      <c r="D168" s="32" t="s">
        <v>597</v>
      </c>
      <c r="E168" s="20" t="s">
        <v>598</v>
      </c>
      <c r="F168" s="19"/>
      <c r="G168" s="20" t="s">
        <v>92</v>
      </c>
      <c r="H168" s="14"/>
      <c r="I168" s="10"/>
      <c r="J168" s="14" t="s">
        <v>1200</v>
      </c>
      <c r="K168" s="33"/>
    </row>
    <row r="169" spans="1:11" s="4" customFormat="1" ht="51" x14ac:dyDescent="0.15">
      <c r="A169" s="16" t="s">
        <v>426</v>
      </c>
      <c r="B169" s="14" t="s">
        <v>599</v>
      </c>
      <c r="C169" s="32"/>
      <c r="D169" s="32" t="s">
        <v>600</v>
      </c>
      <c r="E169" s="20" t="s">
        <v>601</v>
      </c>
      <c r="F169" s="19"/>
      <c r="G169" s="20" t="s">
        <v>489</v>
      </c>
      <c r="H169" s="14"/>
      <c r="I169" s="10"/>
      <c r="J169" s="14" t="s">
        <v>1201</v>
      </c>
      <c r="K169" s="33"/>
    </row>
    <row r="170" spans="1:11" s="4" customFormat="1" ht="51" x14ac:dyDescent="0.15">
      <c r="A170" s="16" t="s">
        <v>430</v>
      </c>
      <c r="B170" s="14" t="s">
        <v>602</v>
      </c>
      <c r="C170" s="32" t="s">
        <v>603</v>
      </c>
      <c r="D170" s="33"/>
      <c r="E170" s="20" t="s">
        <v>604</v>
      </c>
      <c r="F170" s="19"/>
      <c r="G170" s="20" t="s">
        <v>92</v>
      </c>
      <c r="H170" s="14"/>
      <c r="I170" s="10"/>
      <c r="J170" s="14" t="s">
        <v>1201</v>
      </c>
      <c r="K170" s="33"/>
    </row>
    <row r="171" spans="1:11" s="4" customFormat="1" ht="51" x14ac:dyDescent="0.15">
      <c r="A171" s="16" t="s">
        <v>434</v>
      </c>
      <c r="B171" s="14" t="s">
        <v>605</v>
      </c>
      <c r="C171" s="32"/>
      <c r="D171" s="32" t="s">
        <v>606</v>
      </c>
      <c r="E171" s="20" t="s">
        <v>607</v>
      </c>
      <c r="F171" s="19"/>
      <c r="G171" s="20" t="s">
        <v>92</v>
      </c>
      <c r="H171" s="14"/>
      <c r="I171" s="10"/>
      <c r="J171" s="14" t="s">
        <v>1201</v>
      </c>
      <c r="K171" s="33"/>
    </row>
    <row r="172" spans="1:11" s="4" customFormat="1" ht="51" x14ac:dyDescent="0.15">
      <c r="A172" s="16" t="s">
        <v>439</v>
      </c>
      <c r="B172" s="14" t="s">
        <v>1202</v>
      </c>
      <c r="C172" s="32" t="s">
        <v>1203</v>
      </c>
      <c r="D172" s="33"/>
      <c r="E172" s="14" t="s">
        <v>1204</v>
      </c>
      <c r="F172" s="36"/>
      <c r="G172" s="14" t="s">
        <v>92</v>
      </c>
      <c r="H172" s="14"/>
      <c r="I172" s="10"/>
      <c r="J172" s="14" t="s">
        <v>1201</v>
      </c>
      <c r="K172" s="33"/>
    </row>
    <row r="173" spans="1:11" s="4" customFormat="1" ht="68" x14ac:dyDescent="0.15">
      <c r="A173" s="16" t="s">
        <v>444</v>
      </c>
      <c r="B173" s="14" t="s">
        <v>608</v>
      </c>
      <c r="C173" s="32"/>
      <c r="D173" s="32" t="s">
        <v>609</v>
      </c>
      <c r="E173" s="20" t="s">
        <v>610</v>
      </c>
      <c r="F173" s="19"/>
      <c r="G173" s="20" t="s">
        <v>611</v>
      </c>
      <c r="H173" s="14"/>
      <c r="I173" s="10"/>
      <c r="J173" s="14" t="s">
        <v>1201</v>
      </c>
      <c r="K173" s="33"/>
    </row>
    <row r="174" spans="1:11" s="4" customFormat="1" ht="68" x14ac:dyDescent="0.15">
      <c r="A174" s="16" t="s">
        <v>449</v>
      </c>
      <c r="B174" s="14" t="s">
        <v>612</v>
      </c>
      <c r="C174" s="32"/>
      <c r="D174" s="32" t="s">
        <v>613</v>
      </c>
      <c r="E174" s="20" t="s">
        <v>592</v>
      </c>
      <c r="F174" s="19" t="s">
        <v>614</v>
      </c>
      <c r="G174" s="20" t="s">
        <v>584</v>
      </c>
      <c r="H174" s="14"/>
      <c r="I174" s="10"/>
      <c r="J174" s="14" t="s">
        <v>1201</v>
      </c>
      <c r="K174" s="33"/>
    </row>
    <row r="175" spans="1:11" s="4" customFormat="1" ht="51" x14ac:dyDescent="0.15">
      <c r="A175" s="16" t="s">
        <v>454</v>
      </c>
      <c r="B175" s="14" t="s">
        <v>615</v>
      </c>
      <c r="C175" s="32"/>
      <c r="D175" s="32" t="s">
        <v>616</v>
      </c>
      <c r="E175" s="20" t="s">
        <v>617</v>
      </c>
      <c r="F175" s="19"/>
      <c r="G175" s="20" t="s">
        <v>618</v>
      </c>
      <c r="H175" s="14"/>
      <c r="I175" s="10"/>
      <c r="J175" s="14" t="s">
        <v>1201</v>
      </c>
      <c r="K175" s="33"/>
    </row>
    <row r="176" spans="1:11" s="4" customFormat="1" ht="68" x14ac:dyDescent="0.15">
      <c r="A176" s="16" t="s">
        <v>460</v>
      </c>
      <c r="B176" s="14" t="s">
        <v>1205</v>
      </c>
      <c r="C176" s="32"/>
      <c r="D176" s="32" t="s">
        <v>1206</v>
      </c>
      <c r="E176" s="20" t="s">
        <v>619</v>
      </c>
      <c r="F176" s="19"/>
      <c r="G176" s="20" t="s">
        <v>1207</v>
      </c>
      <c r="H176" s="14"/>
      <c r="I176" s="10"/>
      <c r="J176" s="14" t="s">
        <v>1201</v>
      </c>
      <c r="K176" s="33"/>
    </row>
    <row r="177" spans="1:11" s="4" customFormat="1" ht="68" x14ac:dyDescent="0.15">
      <c r="A177" s="16" t="s">
        <v>465</v>
      </c>
      <c r="B177" s="14" t="s">
        <v>1208</v>
      </c>
      <c r="C177" s="32"/>
      <c r="D177" s="32" t="s">
        <v>1209</v>
      </c>
      <c r="E177" s="14" t="s">
        <v>592</v>
      </c>
      <c r="F177" s="36"/>
      <c r="G177" s="14" t="s">
        <v>138</v>
      </c>
      <c r="H177" s="14"/>
      <c r="I177" s="10"/>
      <c r="J177" s="14" t="s">
        <v>1201</v>
      </c>
      <c r="K177" s="33"/>
    </row>
    <row r="178" spans="1:11" s="4" customFormat="1" ht="68" x14ac:dyDescent="0.15">
      <c r="A178" s="16" t="s">
        <v>1136</v>
      </c>
      <c r="B178" s="14" t="s">
        <v>1210</v>
      </c>
      <c r="C178" s="32"/>
      <c r="D178" s="32" t="s">
        <v>1211</v>
      </c>
      <c r="E178" s="14" t="s">
        <v>592</v>
      </c>
      <c r="F178" s="36" t="s">
        <v>1212</v>
      </c>
      <c r="G178" s="14" t="s">
        <v>77</v>
      </c>
      <c r="H178" s="14"/>
      <c r="I178" s="10"/>
      <c r="J178" s="14" t="s">
        <v>1201</v>
      </c>
      <c r="K178" s="33"/>
    </row>
    <row r="179" spans="1:11" s="4" customFormat="1" ht="68" x14ac:dyDescent="0.15">
      <c r="A179" s="16" t="s">
        <v>1138</v>
      </c>
      <c r="B179" s="14" t="s">
        <v>620</v>
      </c>
      <c r="C179" s="32"/>
      <c r="D179" s="32" t="s">
        <v>621</v>
      </c>
      <c r="E179" s="20" t="s">
        <v>619</v>
      </c>
      <c r="F179" s="19"/>
      <c r="G179" s="20" t="s">
        <v>622</v>
      </c>
      <c r="H179" s="14"/>
      <c r="I179" s="10"/>
      <c r="J179" s="14" t="s">
        <v>1201</v>
      </c>
      <c r="K179" s="33"/>
    </row>
    <row r="180" spans="1:11" s="4" customFormat="1" ht="51" x14ac:dyDescent="0.15">
      <c r="A180" s="16" t="s">
        <v>1144</v>
      </c>
      <c r="B180" s="14" t="s">
        <v>623</v>
      </c>
      <c r="C180" s="32" t="s">
        <v>624</v>
      </c>
      <c r="D180" s="33"/>
      <c r="E180" s="20" t="s">
        <v>625</v>
      </c>
      <c r="F180" s="19"/>
      <c r="G180" s="20" t="s">
        <v>92</v>
      </c>
      <c r="H180" s="14"/>
      <c r="I180" s="10"/>
      <c r="J180" s="14" t="s">
        <v>1201</v>
      </c>
      <c r="K180" s="33"/>
    </row>
    <row r="181" spans="1:11" s="4" customFormat="1" ht="51" x14ac:dyDescent="0.15">
      <c r="A181" s="16" t="s">
        <v>1213</v>
      </c>
      <c r="B181" s="14" t="s">
        <v>626</v>
      </c>
      <c r="C181" s="32" t="s">
        <v>627</v>
      </c>
      <c r="D181" s="33"/>
      <c r="E181" s="20" t="s">
        <v>604</v>
      </c>
      <c r="F181" s="20"/>
      <c r="G181" s="20" t="s">
        <v>584</v>
      </c>
      <c r="H181" s="14"/>
      <c r="I181" s="10"/>
      <c r="J181" s="14" t="s">
        <v>1201</v>
      </c>
      <c r="K181" s="33"/>
    </row>
    <row r="182" spans="1:11" s="4" customFormat="1" ht="68" x14ac:dyDescent="0.15">
      <c r="A182" s="16" t="s">
        <v>1214</v>
      </c>
      <c r="B182" s="14" t="s">
        <v>628</v>
      </c>
      <c r="C182" s="32" t="s">
        <v>629</v>
      </c>
      <c r="D182" s="33"/>
      <c r="E182" s="20" t="s">
        <v>630</v>
      </c>
      <c r="F182" s="20"/>
      <c r="G182" s="20" t="s">
        <v>631</v>
      </c>
      <c r="H182" s="14"/>
      <c r="I182" s="10"/>
      <c r="J182" s="14" t="s">
        <v>1215</v>
      </c>
      <c r="K182" s="33"/>
    </row>
    <row r="183" spans="1:11" s="4" customFormat="1" ht="68" x14ac:dyDescent="0.15">
      <c r="A183" s="16" t="s">
        <v>1216</v>
      </c>
      <c r="B183" s="14" t="s">
        <v>632</v>
      </c>
      <c r="C183" s="32"/>
      <c r="D183" s="32" t="s">
        <v>633</v>
      </c>
      <c r="E183" s="20" t="s">
        <v>595</v>
      </c>
      <c r="F183" s="20" t="s">
        <v>228</v>
      </c>
      <c r="G183" s="20" t="s">
        <v>87</v>
      </c>
      <c r="H183" s="14"/>
      <c r="I183" s="10"/>
      <c r="J183" s="14" t="s">
        <v>1217</v>
      </c>
      <c r="K183" s="33"/>
    </row>
    <row r="184" spans="1:11" s="4" customFormat="1" ht="68" x14ac:dyDescent="0.15">
      <c r="A184" s="16" t="s">
        <v>1218</v>
      </c>
      <c r="B184" s="14" t="s">
        <v>634</v>
      </c>
      <c r="C184" s="32" t="s">
        <v>635</v>
      </c>
      <c r="D184" s="33"/>
      <c r="E184" s="20" t="s">
        <v>592</v>
      </c>
      <c r="F184" s="20"/>
      <c r="G184" s="20" t="s">
        <v>92</v>
      </c>
      <c r="H184" s="14"/>
      <c r="I184" s="10"/>
      <c r="J184" s="14" t="s">
        <v>1201</v>
      </c>
      <c r="K184" s="33"/>
    </row>
    <row r="185" spans="1:11" s="4" customFormat="1" ht="68" x14ac:dyDescent="0.15">
      <c r="A185" s="16" t="s">
        <v>1219</v>
      </c>
      <c r="B185" s="14" t="s">
        <v>636</v>
      </c>
      <c r="C185" s="32"/>
      <c r="D185" s="32" t="s">
        <v>637</v>
      </c>
      <c r="E185" s="20" t="s">
        <v>577</v>
      </c>
      <c r="F185" s="20"/>
      <c r="G185" s="20" t="s">
        <v>92</v>
      </c>
      <c r="H185" s="14"/>
      <c r="I185" s="10"/>
      <c r="J185" s="14" t="s">
        <v>1201</v>
      </c>
      <c r="K185" s="33"/>
    </row>
    <row r="186" spans="1:11" s="4" customFormat="1" ht="68" x14ac:dyDescent="0.15">
      <c r="A186" s="16" t="s">
        <v>1220</v>
      </c>
      <c r="B186" s="14" t="s">
        <v>638</v>
      </c>
      <c r="C186" s="32" t="s">
        <v>639</v>
      </c>
      <c r="D186" s="33"/>
      <c r="E186" s="20" t="s">
        <v>592</v>
      </c>
      <c r="F186" s="20"/>
      <c r="G186" s="20" t="s">
        <v>588</v>
      </c>
      <c r="H186" s="14"/>
      <c r="I186" s="10"/>
      <c r="J186" s="14" t="s">
        <v>1201</v>
      </c>
      <c r="K186" s="33"/>
    </row>
    <row r="187" spans="1:11" s="4" customFormat="1" ht="51" x14ac:dyDescent="0.15">
      <c r="A187" s="16" t="s">
        <v>1221</v>
      </c>
      <c r="B187" s="14" t="s">
        <v>640</v>
      </c>
      <c r="C187" s="32" t="s">
        <v>641</v>
      </c>
      <c r="D187" s="33"/>
      <c r="E187" s="20" t="s">
        <v>604</v>
      </c>
      <c r="F187" s="20"/>
      <c r="G187" s="20" t="s">
        <v>92</v>
      </c>
      <c r="H187" s="14"/>
      <c r="I187" s="10"/>
      <c r="J187" s="14" t="s">
        <v>1201</v>
      </c>
      <c r="K187" s="33"/>
    </row>
    <row r="188" spans="1:11" s="4" customFormat="1" ht="51" x14ac:dyDescent="0.15">
      <c r="A188" s="16" t="s">
        <v>1222</v>
      </c>
      <c r="B188" s="14" t="s">
        <v>642</v>
      </c>
      <c r="C188" s="32" t="s">
        <v>643</v>
      </c>
      <c r="D188" s="33"/>
      <c r="E188" s="20" t="s">
        <v>644</v>
      </c>
      <c r="F188" s="20" t="s">
        <v>578</v>
      </c>
      <c r="G188" s="20" t="s">
        <v>645</v>
      </c>
      <c r="H188" s="14"/>
      <c r="I188" s="10"/>
      <c r="J188" s="14" t="s">
        <v>1201</v>
      </c>
      <c r="K188" s="33"/>
    </row>
    <row r="189" spans="1:11" s="4" customFormat="1" ht="68" x14ac:dyDescent="0.15">
      <c r="A189" s="16" t="s">
        <v>1223</v>
      </c>
      <c r="B189" s="14" t="s">
        <v>646</v>
      </c>
      <c r="C189" s="32" t="s">
        <v>647</v>
      </c>
      <c r="D189" s="33"/>
      <c r="E189" s="20" t="s">
        <v>619</v>
      </c>
      <c r="F189" s="20"/>
      <c r="G189" s="20" t="s">
        <v>92</v>
      </c>
      <c r="H189" s="14"/>
      <c r="I189" s="10"/>
      <c r="J189" s="14" t="s">
        <v>1201</v>
      </c>
      <c r="K189" s="33"/>
    </row>
    <row r="190" spans="1:11" s="4" customFormat="1" ht="68" x14ac:dyDescent="0.15">
      <c r="A190" s="16" t="s">
        <v>1224</v>
      </c>
      <c r="B190" s="14" t="s">
        <v>648</v>
      </c>
      <c r="C190" s="32" t="s">
        <v>649</v>
      </c>
      <c r="D190" s="33"/>
      <c r="E190" s="20" t="s">
        <v>650</v>
      </c>
      <c r="F190" s="20"/>
      <c r="G190" s="20" t="s">
        <v>92</v>
      </c>
      <c r="H190" s="14"/>
      <c r="I190" s="10"/>
      <c r="J190" s="14" t="s">
        <v>1201</v>
      </c>
      <c r="K190" s="33"/>
    </row>
    <row r="191" spans="1:11" s="4" customFormat="1" ht="68" x14ac:dyDescent="0.15">
      <c r="A191" s="16" t="s">
        <v>1225</v>
      </c>
      <c r="B191" s="14" t="s">
        <v>1226</v>
      </c>
      <c r="C191" s="32"/>
      <c r="D191" s="32" t="s">
        <v>1227</v>
      </c>
      <c r="E191" s="14" t="s">
        <v>592</v>
      </c>
      <c r="F191" s="14"/>
      <c r="G191" s="14" t="s">
        <v>77</v>
      </c>
      <c r="H191" s="14"/>
      <c r="I191" s="10"/>
      <c r="J191" s="14" t="s">
        <v>1201</v>
      </c>
      <c r="K191" s="33"/>
    </row>
    <row r="192" spans="1:11" s="4" customFormat="1" ht="68" x14ac:dyDescent="0.15">
      <c r="A192" s="16" t="s">
        <v>1228</v>
      </c>
      <c r="B192" s="14" t="s">
        <v>651</v>
      </c>
      <c r="C192" s="32" t="s">
        <v>652</v>
      </c>
      <c r="D192" s="33"/>
      <c r="E192" s="14" t="s">
        <v>630</v>
      </c>
      <c r="F192" s="14" t="s">
        <v>228</v>
      </c>
      <c r="G192" s="14" t="s">
        <v>584</v>
      </c>
      <c r="H192" s="14"/>
      <c r="I192" s="10"/>
      <c r="J192" s="14" t="s">
        <v>1201</v>
      </c>
      <c r="K192" s="33"/>
    </row>
    <row r="193" spans="1:11" s="4" customFormat="1" ht="51" x14ac:dyDescent="0.15">
      <c r="A193" s="16" t="s">
        <v>1229</v>
      </c>
      <c r="B193" s="14" t="s">
        <v>1230</v>
      </c>
      <c r="C193" s="16"/>
      <c r="D193" s="16" t="s">
        <v>1231</v>
      </c>
      <c r="E193" s="14" t="s">
        <v>1232</v>
      </c>
      <c r="F193" s="14"/>
      <c r="G193" s="14" t="s">
        <v>489</v>
      </c>
      <c r="H193" s="14" t="s">
        <v>92</v>
      </c>
      <c r="I193" s="10"/>
      <c r="J193" s="14" t="s">
        <v>1233</v>
      </c>
      <c r="K193" s="33"/>
    </row>
    <row r="194" spans="1:11" s="4" customFormat="1" ht="153" x14ac:dyDescent="0.15">
      <c r="A194" s="16" t="s">
        <v>1234</v>
      </c>
      <c r="B194" s="20" t="s">
        <v>653</v>
      </c>
      <c r="C194" s="55" t="s">
        <v>654</v>
      </c>
      <c r="D194" s="33"/>
      <c r="E194" s="20" t="s">
        <v>655</v>
      </c>
      <c r="F194" s="20" t="s">
        <v>656</v>
      </c>
      <c r="G194" s="38" t="s">
        <v>657</v>
      </c>
      <c r="H194" s="38"/>
      <c r="I194" s="10"/>
      <c r="J194" s="14" t="s">
        <v>1233</v>
      </c>
      <c r="K194" s="33"/>
    </row>
    <row r="195" spans="1:11" s="4" customFormat="1" ht="68" x14ac:dyDescent="0.15">
      <c r="A195" s="16" t="s">
        <v>1235</v>
      </c>
      <c r="B195" s="20" t="s">
        <v>658</v>
      </c>
      <c r="C195" s="55" t="s">
        <v>659</v>
      </c>
      <c r="D195" s="33"/>
      <c r="E195" s="20" t="s">
        <v>660</v>
      </c>
      <c r="F195" s="14"/>
      <c r="G195" s="20" t="s">
        <v>661</v>
      </c>
      <c r="H195" s="20"/>
      <c r="I195" s="20"/>
      <c r="J195" s="14" t="s">
        <v>1233</v>
      </c>
      <c r="K195" s="33"/>
    </row>
    <row r="196" spans="1:11" s="4" customFormat="1" ht="85" x14ac:dyDescent="0.15">
      <c r="A196" s="16" t="s">
        <v>1236</v>
      </c>
      <c r="B196" s="20" t="s">
        <v>662</v>
      </c>
      <c r="C196" s="55" t="s">
        <v>564</v>
      </c>
      <c r="D196" s="33"/>
      <c r="E196" s="20" t="s">
        <v>663</v>
      </c>
      <c r="F196" s="14"/>
      <c r="G196" s="14"/>
      <c r="H196" s="20" t="s">
        <v>664</v>
      </c>
      <c r="I196" s="20"/>
      <c r="J196" s="14" t="s">
        <v>1233</v>
      </c>
      <c r="K196" s="33"/>
    </row>
    <row r="197" spans="1:11" s="4" customFormat="1" ht="85" x14ac:dyDescent="0.15">
      <c r="A197" s="16" t="s">
        <v>1237</v>
      </c>
      <c r="B197" s="14" t="s">
        <v>1238</v>
      </c>
      <c r="C197" s="16" t="s">
        <v>1239</v>
      </c>
      <c r="D197" s="33"/>
      <c r="E197" s="14" t="s">
        <v>1240</v>
      </c>
      <c r="F197" s="14"/>
      <c r="G197" s="14" t="s">
        <v>755</v>
      </c>
      <c r="H197" s="14" t="s">
        <v>1241</v>
      </c>
      <c r="I197" s="14"/>
      <c r="J197" s="14" t="s">
        <v>1233</v>
      </c>
      <c r="K197" s="33"/>
    </row>
    <row r="198" spans="1:11" s="4" customFormat="1" ht="51" x14ac:dyDescent="0.15">
      <c r="A198" s="16" t="s">
        <v>1242</v>
      </c>
      <c r="B198" s="14" t="s">
        <v>665</v>
      </c>
      <c r="C198" s="16"/>
      <c r="D198" s="16" t="s">
        <v>666</v>
      </c>
      <c r="E198" s="14" t="s">
        <v>667</v>
      </c>
      <c r="F198" s="14"/>
      <c r="G198" s="14" t="s">
        <v>489</v>
      </c>
      <c r="H198" s="14" t="s">
        <v>668</v>
      </c>
      <c r="I198" s="14"/>
      <c r="J198" s="14" t="s">
        <v>1233</v>
      </c>
      <c r="K198" s="33"/>
    </row>
    <row r="199" spans="1:11" s="4" customFormat="1" ht="51" x14ac:dyDescent="0.15">
      <c r="A199" s="16" t="s">
        <v>1243</v>
      </c>
      <c r="B199" s="14" t="s">
        <v>669</v>
      </c>
      <c r="C199" s="16" t="s">
        <v>670</v>
      </c>
      <c r="D199" s="33"/>
      <c r="E199" s="14" t="s">
        <v>671</v>
      </c>
      <c r="F199" s="14"/>
      <c r="G199" s="14" t="s">
        <v>56</v>
      </c>
      <c r="H199" s="14"/>
      <c r="I199" s="10"/>
      <c r="J199" s="14" t="s">
        <v>1233</v>
      </c>
      <c r="K199" s="33"/>
    </row>
    <row r="200" spans="1:11" s="4" customFormat="1" ht="51" x14ac:dyDescent="0.15">
      <c r="A200" s="16" t="s">
        <v>1244</v>
      </c>
      <c r="B200" s="14" t="s">
        <v>672</v>
      </c>
      <c r="C200" s="16" t="s">
        <v>673</v>
      </c>
      <c r="D200" s="33"/>
      <c r="E200" s="14" t="s">
        <v>674</v>
      </c>
      <c r="F200" s="14"/>
      <c r="G200" s="14" t="s">
        <v>56</v>
      </c>
      <c r="H200" s="14"/>
      <c r="I200" s="10"/>
      <c r="J200" s="14" t="s">
        <v>1233</v>
      </c>
      <c r="K200" s="33"/>
    </row>
    <row r="201" spans="1:11" s="4" customFormat="1" ht="51" x14ac:dyDescent="0.15">
      <c r="A201" s="16" t="s">
        <v>1245</v>
      </c>
      <c r="B201" s="14" t="s">
        <v>675</v>
      </c>
      <c r="C201" s="16" t="s">
        <v>676</v>
      </c>
      <c r="D201" s="33"/>
      <c r="E201" s="14" t="s">
        <v>677</v>
      </c>
      <c r="F201" s="14"/>
      <c r="G201" s="14" t="s">
        <v>56</v>
      </c>
      <c r="H201" s="14"/>
      <c r="I201" s="10"/>
      <c r="J201" s="14" t="s">
        <v>1233</v>
      </c>
      <c r="K201" s="33"/>
    </row>
    <row r="202" spans="1:11" s="4" customFormat="1" ht="68" x14ac:dyDescent="0.15">
      <c r="A202" s="16" t="s">
        <v>1246</v>
      </c>
      <c r="B202" s="14" t="s">
        <v>678</v>
      </c>
      <c r="C202" s="16"/>
      <c r="D202" s="16" t="s">
        <v>679</v>
      </c>
      <c r="E202" s="14" t="s">
        <v>680</v>
      </c>
      <c r="F202" s="14" t="s">
        <v>298</v>
      </c>
      <c r="G202" s="14" t="s">
        <v>489</v>
      </c>
      <c r="H202" s="14"/>
      <c r="I202" s="10"/>
      <c r="J202" s="14" t="s">
        <v>1233</v>
      </c>
      <c r="K202" s="33"/>
    </row>
    <row r="203" spans="1:11" s="4" customFormat="1" ht="102" x14ac:dyDescent="0.15">
      <c r="A203" s="16" t="s">
        <v>1247</v>
      </c>
      <c r="B203" s="14" t="s">
        <v>1248</v>
      </c>
      <c r="C203" s="16" t="s">
        <v>1249</v>
      </c>
      <c r="D203" s="33"/>
      <c r="E203" s="14" t="s">
        <v>1250</v>
      </c>
      <c r="F203" s="14"/>
      <c r="G203" s="14" t="s">
        <v>1251</v>
      </c>
      <c r="H203" s="14"/>
      <c r="I203" s="10"/>
      <c r="J203" s="14" t="s">
        <v>1233</v>
      </c>
      <c r="K203" s="33"/>
    </row>
    <row r="204" spans="1:11" s="4" customFormat="1" ht="68" x14ac:dyDescent="0.15">
      <c r="A204" s="16" t="s">
        <v>1252</v>
      </c>
      <c r="B204" s="14" t="s">
        <v>1253</v>
      </c>
      <c r="C204" s="16"/>
      <c r="D204" s="16" t="s">
        <v>1254</v>
      </c>
      <c r="E204" s="14" t="s">
        <v>1255</v>
      </c>
      <c r="F204" s="14"/>
      <c r="G204" s="14"/>
      <c r="H204" s="14" t="s">
        <v>1256</v>
      </c>
      <c r="I204" s="10"/>
      <c r="J204" s="14" t="s">
        <v>1233</v>
      </c>
      <c r="K204" s="33"/>
    </row>
    <row r="205" spans="1:11" s="4" customFormat="1" ht="85" x14ac:dyDescent="0.15">
      <c r="A205" s="16" t="s">
        <v>1257</v>
      </c>
      <c r="B205" s="14" t="s">
        <v>681</v>
      </c>
      <c r="C205" s="16" t="s">
        <v>682</v>
      </c>
      <c r="D205" s="33"/>
      <c r="E205" s="14" t="s">
        <v>683</v>
      </c>
      <c r="F205" s="14"/>
      <c r="G205" s="14" t="s">
        <v>92</v>
      </c>
      <c r="H205" s="14"/>
      <c r="I205" s="10"/>
      <c r="J205" s="14" t="s">
        <v>1233</v>
      </c>
      <c r="K205" s="33"/>
    </row>
    <row r="206" spans="1:11" s="4" customFormat="1" ht="34" x14ac:dyDescent="0.2">
      <c r="A206" s="16" t="s">
        <v>1258</v>
      </c>
      <c r="B206" s="14" t="s">
        <v>1259</v>
      </c>
      <c r="C206" s="110"/>
      <c r="D206" s="110" t="s">
        <v>1260</v>
      </c>
      <c r="E206" s="14" t="s">
        <v>1261</v>
      </c>
      <c r="F206" s="14"/>
      <c r="G206" s="14" t="s">
        <v>698</v>
      </c>
      <c r="H206" s="14"/>
      <c r="I206" s="10"/>
      <c r="J206" s="14" t="s">
        <v>1169</v>
      </c>
      <c r="K206" s="33"/>
    </row>
    <row r="207" spans="1:11" s="4" customFormat="1" ht="51" x14ac:dyDescent="0.2">
      <c r="A207" s="16" t="s">
        <v>1262</v>
      </c>
      <c r="B207" s="14" t="s">
        <v>1263</v>
      </c>
      <c r="C207" s="110"/>
      <c r="D207" s="110" t="s">
        <v>1264</v>
      </c>
      <c r="E207" s="14" t="s">
        <v>1265</v>
      </c>
      <c r="F207" s="14"/>
      <c r="G207" s="14" t="s">
        <v>698</v>
      </c>
      <c r="H207" s="14"/>
      <c r="I207" s="10"/>
      <c r="J207" s="14" t="s">
        <v>1169</v>
      </c>
      <c r="K207" s="33"/>
    </row>
    <row r="208" spans="1:11" s="4" customFormat="1" ht="34" x14ac:dyDescent="0.2">
      <c r="A208" s="16" t="s">
        <v>1266</v>
      </c>
      <c r="B208" s="21" t="s">
        <v>1267</v>
      </c>
      <c r="C208" s="110"/>
      <c r="D208" s="110" t="s">
        <v>1268</v>
      </c>
      <c r="E208" s="36" t="s">
        <v>413</v>
      </c>
      <c r="F208" s="14"/>
      <c r="G208" s="14" t="s">
        <v>1269</v>
      </c>
      <c r="H208" s="14"/>
      <c r="I208" s="10"/>
      <c r="J208" s="14" t="s">
        <v>1169</v>
      </c>
      <c r="K208" s="33"/>
    </row>
    <row r="209" spans="1:11" s="4" customFormat="1" ht="51" x14ac:dyDescent="0.2">
      <c r="A209" s="16" t="s">
        <v>1270</v>
      </c>
      <c r="B209" s="14" t="s">
        <v>1271</v>
      </c>
      <c r="C209" s="111"/>
      <c r="D209" s="111">
        <v>32329</v>
      </c>
      <c r="E209" s="36" t="s">
        <v>1272</v>
      </c>
      <c r="F209" s="10"/>
      <c r="G209" s="14" t="s">
        <v>1273</v>
      </c>
      <c r="H209" s="14"/>
      <c r="I209" s="10"/>
      <c r="J209" s="14" t="s">
        <v>1169</v>
      </c>
      <c r="K209" s="33"/>
    </row>
    <row r="210" spans="1:11" s="4" customFormat="1" ht="68" x14ac:dyDescent="0.15">
      <c r="A210" s="16" t="s">
        <v>1274</v>
      </c>
      <c r="B210" s="20" t="s">
        <v>684</v>
      </c>
      <c r="C210" s="56"/>
      <c r="D210" s="56" t="s">
        <v>685</v>
      </c>
      <c r="E210" s="19" t="s">
        <v>686</v>
      </c>
      <c r="F210" s="10"/>
      <c r="G210" s="20" t="s">
        <v>687</v>
      </c>
      <c r="H210" s="14"/>
      <c r="I210" s="10"/>
      <c r="J210" s="14" t="s">
        <v>1169</v>
      </c>
      <c r="K210" s="33"/>
    </row>
    <row r="211" spans="1:11" s="4" customFormat="1" ht="68" x14ac:dyDescent="0.2">
      <c r="A211" s="16" t="s">
        <v>1275</v>
      </c>
      <c r="B211" s="20" t="s">
        <v>688</v>
      </c>
      <c r="C211" s="57" t="s">
        <v>689</v>
      </c>
      <c r="D211" s="33"/>
      <c r="E211" s="19" t="s">
        <v>690</v>
      </c>
      <c r="F211" s="10"/>
      <c r="G211" s="20" t="s">
        <v>691</v>
      </c>
      <c r="H211" s="14"/>
      <c r="I211" s="10"/>
      <c r="J211" s="14" t="s">
        <v>1169</v>
      </c>
      <c r="K211" s="33"/>
    </row>
    <row r="212" spans="1:11" s="4" customFormat="1" ht="85" x14ac:dyDescent="0.15">
      <c r="A212" s="16" t="s">
        <v>1276</v>
      </c>
      <c r="B212" s="20" t="s">
        <v>692</v>
      </c>
      <c r="C212" s="56" t="s">
        <v>693</v>
      </c>
      <c r="D212" s="33"/>
      <c r="E212" s="19" t="s">
        <v>413</v>
      </c>
      <c r="F212" s="10"/>
      <c r="G212" s="20" t="s">
        <v>694</v>
      </c>
      <c r="H212" s="14"/>
      <c r="I212" s="10"/>
      <c r="J212" s="14" t="s">
        <v>1169</v>
      </c>
      <c r="K212" s="33"/>
    </row>
    <row r="213" spans="1:11" s="4" customFormat="1" ht="34" x14ac:dyDescent="0.15">
      <c r="A213" s="16" t="s">
        <v>1277</v>
      </c>
      <c r="B213" s="14" t="s">
        <v>1278</v>
      </c>
      <c r="C213" s="32"/>
      <c r="D213" s="32" t="s">
        <v>1279</v>
      </c>
      <c r="E213" s="36" t="s">
        <v>413</v>
      </c>
      <c r="F213" s="10"/>
      <c r="G213" s="14" t="s">
        <v>698</v>
      </c>
      <c r="H213" s="14"/>
      <c r="I213" s="10"/>
      <c r="J213" s="14" t="s">
        <v>1169</v>
      </c>
      <c r="K213" s="33"/>
    </row>
    <row r="214" spans="1:11" s="4" customFormat="1" ht="51" x14ac:dyDescent="0.15">
      <c r="A214" s="16" t="s">
        <v>1280</v>
      </c>
      <c r="B214" s="23" t="s">
        <v>695</v>
      </c>
      <c r="C214" s="56"/>
      <c r="D214" s="56" t="s">
        <v>696</v>
      </c>
      <c r="E214" s="19" t="s">
        <v>697</v>
      </c>
      <c r="F214" s="10"/>
      <c r="G214" s="20" t="s">
        <v>698</v>
      </c>
      <c r="H214" s="14"/>
      <c r="I214" s="10"/>
      <c r="J214" s="14" t="s">
        <v>1169</v>
      </c>
      <c r="K214" s="33"/>
    </row>
    <row r="215" spans="1:11" s="4" customFormat="1" ht="68" x14ac:dyDescent="0.15">
      <c r="A215" s="16" t="s">
        <v>1281</v>
      </c>
      <c r="B215" s="20" t="s">
        <v>699</v>
      </c>
      <c r="C215" s="56" t="s">
        <v>700</v>
      </c>
      <c r="D215" s="33"/>
      <c r="E215" s="94" t="s">
        <v>701</v>
      </c>
      <c r="F215" s="10"/>
      <c r="G215" s="20" t="s">
        <v>702</v>
      </c>
      <c r="H215" s="14"/>
      <c r="I215" s="10"/>
      <c r="J215" s="14" t="s">
        <v>1169</v>
      </c>
      <c r="K215" s="33"/>
    </row>
    <row r="216" spans="1:11" s="4" customFormat="1" ht="51" x14ac:dyDescent="0.15">
      <c r="A216" s="16" t="s">
        <v>1282</v>
      </c>
      <c r="B216" s="20" t="s">
        <v>703</v>
      </c>
      <c r="C216" s="56" t="s">
        <v>704</v>
      </c>
      <c r="D216" s="33"/>
      <c r="E216" s="19" t="s">
        <v>705</v>
      </c>
      <c r="F216" s="10"/>
      <c r="G216" s="95"/>
      <c r="H216" s="20" t="s">
        <v>706</v>
      </c>
      <c r="I216" s="10"/>
      <c r="J216" s="14" t="s">
        <v>1169</v>
      </c>
      <c r="K216" s="33"/>
    </row>
    <row r="217" spans="1:11" s="4" customFormat="1" ht="51" x14ac:dyDescent="0.15">
      <c r="A217" s="16" t="s">
        <v>1283</v>
      </c>
      <c r="B217" s="20" t="s">
        <v>707</v>
      </c>
      <c r="C217" s="56" t="s">
        <v>708</v>
      </c>
      <c r="D217" s="33"/>
      <c r="E217" s="19" t="s">
        <v>709</v>
      </c>
      <c r="F217" s="10"/>
      <c r="G217" s="19" t="s">
        <v>710</v>
      </c>
      <c r="H217" s="14"/>
      <c r="I217" s="10"/>
      <c r="J217" s="14" t="s">
        <v>1169</v>
      </c>
      <c r="K217" s="33"/>
    </row>
    <row r="218" spans="1:11" s="4" customFormat="1" ht="51" x14ac:dyDescent="0.15">
      <c r="A218" s="16" t="s">
        <v>1284</v>
      </c>
      <c r="B218" s="14" t="s">
        <v>1285</v>
      </c>
      <c r="C218" s="31"/>
      <c r="D218" s="31">
        <v>33365</v>
      </c>
      <c r="E218" s="36" t="s">
        <v>1286</v>
      </c>
      <c r="F218" s="14"/>
      <c r="G218" s="14" t="s">
        <v>1287</v>
      </c>
      <c r="H218" s="14"/>
      <c r="I218" s="10"/>
      <c r="J218" s="14" t="s">
        <v>1169</v>
      </c>
      <c r="K218" s="33"/>
    </row>
    <row r="219" spans="1:11" s="4" customFormat="1" ht="51" x14ac:dyDescent="0.15">
      <c r="A219" s="16" t="s">
        <v>1288</v>
      </c>
      <c r="B219" s="20" t="s">
        <v>711</v>
      </c>
      <c r="C219" s="47"/>
      <c r="D219" s="47">
        <v>33250</v>
      </c>
      <c r="E219" s="19" t="s">
        <v>712</v>
      </c>
      <c r="F219" s="14"/>
      <c r="G219" s="20" t="s">
        <v>392</v>
      </c>
      <c r="H219" s="14"/>
      <c r="I219" s="10"/>
      <c r="J219" s="14" t="s">
        <v>1169</v>
      </c>
      <c r="K219" s="33"/>
    </row>
    <row r="220" spans="1:11" s="4" customFormat="1" ht="16" x14ac:dyDescent="0.15">
      <c r="A220" s="12">
        <v>3</v>
      </c>
      <c r="B220" s="152" t="s">
        <v>715</v>
      </c>
      <c r="C220" s="153"/>
      <c r="D220" s="153"/>
      <c r="E220" s="153"/>
      <c r="F220" s="153"/>
      <c r="G220" s="153"/>
      <c r="H220" s="153"/>
      <c r="I220" s="153"/>
      <c r="J220" s="153"/>
      <c r="K220" s="154"/>
    </row>
    <row r="221" spans="1:11" s="4" customFormat="1" ht="51" x14ac:dyDescent="0.15">
      <c r="A221" s="13" t="s">
        <v>716</v>
      </c>
      <c r="B221" s="14" t="s">
        <v>717</v>
      </c>
      <c r="C221" s="32" t="s">
        <v>718</v>
      </c>
      <c r="D221" s="32"/>
      <c r="E221" s="20" t="s">
        <v>719</v>
      </c>
      <c r="F221" s="20" t="s">
        <v>720</v>
      </c>
      <c r="G221" s="20" t="s">
        <v>721</v>
      </c>
      <c r="H221" s="14"/>
      <c r="I221" s="10"/>
      <c r="J221" s="38" t="s">
        <v>1289</v>
      </c>
      <c r="K221" s="33"/>
    </row>
    <row r="222" spans="1:11" s="4" customFormat="1" ht="51" x14ac:dyDescent="0.15">
      <c r="A222" s="13" t="s">
        <v>722</v>
      </c>
      <c r="B222" s="14" t="s">
        <v>723</v>
      </c>
      <c r="C222" s="16" t="s">
        <v>724</v>
      </c>
      <c r="D222" s="9"/>
      <c r="E222" s="20" t="s">
        <v>725</v>
      </c>
      <c r="F222" s="20" t="s">
        <v>726</v>
      </c>
      <c r="G222" s="20" t="s">
        <v>727</v>
      </c>
      <c r="H222" s="14"/>
      <c r="I222" s="10"/>
      <c r="J222" s="46" t="s">
        <v>1290</v>
      </c>
      <c r="K222" s="33"/>
    </row>
    <row r="223" spans="1:11" s="4" customFormat="1" ht="68" x14ac:dyDescent="0.15">
      <c r="A223" s="13" t="s">
        <v>728</v>
      </c>
      <c r="B223" s="21" t="s">
        <v>729</v>
      </c>
      <c r="C223" s="16" t="s">
        <v>730</v>
      </c>
      <c r="D223" s="9"/>
      <c r="E223" s="20" t="s">
        <v>565</v>
      </c>
      <c r="F223" s="20" t="s">
        <v>731</v>
      </c>
      <c r="G223" s="20" t="s">
        <v>732</v>
      </c>
      <c r="H223" s="14"/>
      <c r="I223" s="10"/>
      <c r="J223" s="46" t="s">
        <v>1291</v>
      </c>
      <c r="K223" s="33"/>
    </row>
    <row r="224" spans="1:11" s="4" customFormat="1" ht="68" x14ac:dyDescent="0.15">
      <c r="A224" s="13" t="s">
        <v>733</v>
      </c>
      <c r="B224" s="21" t="s">
        <v>734</v>
      </c>
      <c r="C224" s="15" t="s">
        <v>735</v>
      </c>
      <c r="D224" s="9"/>
      <c r="E224" s="38" t="s">
        <v>736</v>
      </c>
      <c r="F224" s="14"/>
      <c r="G224" s="20" t="s">
        <v>737</v>
      </c>
      <c r="H224" s="14"/>
      <c r="I224" s="10"/>
      <c r="J224" s="14" t="s">
        <v>1292</v>
      </c>
      <c r="K224" s="33"/>
    </row>
    <row r="225" spans="1:11" s="4" customFormat="1" ht="68" x14ac:dyDescent="0.15">
      <c r="A225" s="13" t="s">
        <v>738</v>
      </c>
      <c r="B225" s="21" t="s">
        <v>739</v>
      </c>
      <c r="C225" s="15" t="s">
        <v>740</v>
      </c>
      <c r="D225" s="9"/>
      <c r="E225" s="38" t="s">
        <v>741</v>
      </c>
      <c r="F225" s="14"/>
      <c r="G225" s="20" t="s">
        <v>737</v>
      </c>
      <c r="H225" s="14"/>
      <c r="I225" s="10"/>
      <c r="J225" s="14" t="s">
        <v>1293</v>
      </c>
      <c r="K225" s="33"/>
    </row>
    <row r="226" spans="1:11" s="4" customFormat="1" ht="85" x14ac:dyDescent="0.15">
      <c r="A226" s="13" t="s">
        <v>742</v>
      </c>
      <c r="B226" s="21" t="s">
        <v>743</v>
      </c>
      <c r="C226" s="15" t="s">
        <v>744</v>
      </c>
      <c r="D226" s="9"/>
      <c r="E226" s="38" t="s">
        <v>745</v>
      </c>
      <c r="F226" s="14"/>
      <c r="G226" s="20"/>
      <c r="H226" s="20" t="s">
        <v>737</v>
      </c>
      <c r="I226" s="10"/>
      <c r="J226" s="14" t="s">
        <v>1293</v>
      </c>
      <c r="K226" s="33"/>
    </row>
    <row r="227" spans="1:11" s="4" customFormat="1" ht="85" x14ac:dyDescent="0.15">
      <c r="A227" s="13" t="s">
        <v>746</v>
      </c>
      <c r="B227" s="21" t="s">
        <v>747</v>
      </c>
      <c r="C227" s="15" t="s">
        <v>748</v>
      </c>
      <c r="D227" s="9"/>
      <c r="E227" s="38" t="s">
        <v>749</v>
      </c>
      <c r="F227" s="14"/>
      <c r="G227" s="20" t="s">
        <v>750</v>
      </c>
      <c r="H227" s="20" t="s">
        <v>737</v>
      </c>
      <c r="I227" s="10"/>
      <c r="J227" s="14" t="s">
        <v>1293</v>
      </c>
      <c r="K227" s="33"/>
    </row>
    <row r="228" spans="1:11" s="4" customFormat="1" ht="68" x14ac:dyDescent="0.15">
      <c r="A228" s="13" t="s">
        <v>751</v>
      </c>
      <c r="B228" s="21" t="s">
        <v>752</v>
      </c>
      <c r="C228" s="15" t="s">
        <v>753</v>
      </c>
      <c r="D228" s="9"/>
      <c r="E228" s="38" t="s">
        <v>754</v>
      </c>
      <c r="F228" s="14"/>
      <c r="G228" s="20" t="s">
        <v>755</v>
      </c>
      <c r="H228" s="14"/>
      <c r="I228" s="10"/>
      <c r="J228" s="14" t="s">
        <v>1293</v>
      </c>
      <c r="K228" s="33"/>
    </row>
    <row r="229" spans="1:11" s="4" customFormat="1" ht="68" x14ac:dyDescent="0.15">
      <c r="A229" s="13" t="s">
        <v>756</v>
      </c>
      <c r="B229" s="14" t="s">
        <v>757</v>
      </c>
      <c r="C229" s="40" t="s">
        <v>758</v>
      </c>
      <c r="D229" s="9"/>
      <c r="E229" s="20" t="s">
        <v>759</v>
      </c>
      <c r="F229" s="44"/>
      <c r="G229" s="20" t="s">
        <v>87</v>
      </c>
      <c r="H229" s="14"/>
      <c r="I229" s="10"/>
      <c r="J229" s="14" t="s">
        <v>1164</v>
      </c>
      <c r="K229" s="33"/>
    </row>
    <row r="230" spans="1:11" s="4" customFormat="1" ht="68" x14ac:dyDescent="0.15">
      <c r="A230" s="13" t="s">
        <v>760</v>
      </c>
      <c r="B230" s="14" t="s">
        <v>761</v>
      </c>
      <c r="C230" s="42" t="s">
        <v>762</v>
      </c>
      <c r="D230" s="9"/>
      <c r="E230" s="20" t="s">
        <v>763</v>
      </c>
      <c r="F230" s="20"/>
      <c r="G230" s="20" t="s">
        <v>622</v>
      </c>
      <c r="H230" s="14"/>
      <c r="I230" s="10"/>
      <c r="J230" s="14" t="s">
        <v>1164</v>
      </c>
      <c r="K230" s="33"/>
    </row>
    <row r="231" spans="1:11" s="4" customFormat="1" ht="68" x14ac:dyDescent="0.15">
      <c r="A231" s="13" t="s">
        <v>764</v>
      </c>
      <c r="B231" s="14" t="s">
        <v>765</v>
      </c>
      <c r="C231" s="40" t="s">
        <v>766</v>
      </c>
      <c r="D231" s="9"/>
      <c r="E231" s="20" t="s">
        <v>767</v>
      </c>
      <c r="F231" s="10"/>
      <c r="G231" s="20" t="s">
        <v>622</v>
      </c>
      <c r="H231" s="14"/>
      <c r="I231" s="10"/>
      <c r="J231" s="14" t="s">
        <v>1164</v>
      </c>
      <c r="K231" s="33"/>
    </row>
    <row r="232" spans="1:11" s="4" customFormat="1" ht="68" x14ac:dyDescent="0.15">
      <c r="A232" s="13" t="s">
        <v>768</v>
      </c>
      <c r="B232" s="14" t="s">
        <v>769</v>
      </c>
      <c r="C232" s="40"/>
      <c r="D232" s="40" t="s">
        <v>770</v>
      </c>
      <c r="E232" s="20" t="s">
        <v>771</v>
      </c>
      <c r="F232" s="10"/>
      <c r="G232" s="96" t="s">
        <v>77</v>
      </c>
      <c r="H232" s="14"/>
      <c r="I232" s="10"/>
      <c r="J232" s="14" t="s">
        <v>1164</v>
      </c>
      <c r="K232" s="33"/>
    </row>
    <row r="233" spans="1:11" s="4" customFormat="1" ht="68" x14ac:dyDescent="0.15">
      <c r="A233" s="13" t="s">
        <v>772</v>
      </c>
      <c r="B233" s="14" t="s">
        <v>773</v>
      </c>
      <c r="C233" s="40"/>
      <c r="D233" s="40" t="s">
        <v>774</v>
      </c>
      <c r="E233" s="20" t="s">
        <v>413</v>
      </c>
      <c r="F233" s="10"/>
      <c r="G233" s="20" t="s">
        <v>775</v>
      </c>
      <c r="H233" s="14"/>
      <c r="I233" s="10"/>
      <c r="J233" s="14" t="s">
        <v>1164</v>
      </c>
      <c r="K233" s="33"/>
    </row>
    <row r="234" spans="1:11" s="4" customFormat="1" ht="68" x14ac:dyDescent="0.15">
      <c r="A234" s="13" t="s">
        <v>776</v>
      </c>
      <c r="B234" s="14" t="s">
        <v>681</v>
      </c>
      <c r="C234" s="32" t="s">
        <v>777</v>
      </c>
      <c r="D234" s="9"/>
      <c r="E234" s="20" t="s">
        <v>778</v>
      </c>
      <c r="F234" s="19" t="s">
        <v>228</v>
      </c>
      <c r="G234" s="20" t="s">
        <v>87</v>
      </c>
      <c r="H234" s="14"/>
      <c r="I234" s="10"/>
      <c r="J234" s="14" t="s">
        <v>1157</v>
      </c>
      <c r="K234" s="33"/>
    </row>
    <row r="235" spans="1:11" s="4" customFormat="1" ht="68" x14ac:dyDescent="0.15">
      <c r="A235" s="13" t="s">
        <v>779</v>
      </c>
      <c r="B235" s="14" t="s">
        <v>780</v>
      </c>
      <c r="C235" s="32" t="s">
        <v>781</v>
      </c>
      <c r="D235" s="9"/>
      <c r="E235" s="20" t="s">
        <v>542</v>
      </c>
      <c r="F235" s="19" t="s">
        <v>782</v>
      </c>
      <c r="G235" s="20" t="s">
        <v>783</v>
      </c>
      <c r="H235" s="14"/>
      <c r="I235" s="10"/>
      <c r="J235" s="14" t="s">
        <v>1157</v>
      </c>
      <c r="K235" s="33"/>
    </row>
    <row r="236" spans="1:11" s="4" customFormat="1" ht="51" x14ac:dyDescent="0.15">
      <c r="A236" s="13" t="s">
        <v>784</v>
      </c>
      <c r="B236" s="14" t="s">
        <v>785</v>
      </c>
      <c r="C236" s="32"/>
      <c r="D236" s="32" t="s">
        <v>786</v>
      </c>
      <c r="E236" s="20" t="s">
        <v>491</v>
      </c>
      <c r="F236" s="14"/>
      <c r="G236" s="20" t="s">
        <v>77</v>
      </c>
      <c r="H236" s="20" t="s">
        <v>77</v>
      </c>
      <c r="I236" s="10"/>
      <c r="J236" s="14" t="s">
        <v>1157</v>
      </c>
      <c r="K236" s="33"/>
    </row>
    <row r="237" spans="1:11" s="4" customFormat="1" ht="85" x14ac:dyDescent="0.15">
      <c r="A237" s="13" t="s">
        <v>787</v>
      </c>
      <c r="B237" s="14" t="s">
        <v>788</v>
      </c>
      <c r="C237" s="32"/>
      <c r="D237" s="32" t="s">
        <v>789</v>
      </c>
      <c r="E237" s="20" t="s">
        <v>528</v>
      </c>
      <c r="F237" s="20" t="s">
        <v>233</v>
      </c>
      <c r="G237" s="20" t="s">
        <v>77</v>
      </c>
      <c r="H237" s="14"/>
      <c r="I237" s="10"/>
      <c r="J237" s="14" t="s">
        <v>1157</v>
      </c>
      <c r="K237" s="33"/>
    </row>
    <row r="238" spans="1:11" s="4" customFormat="1" ht="18.75" customHeight="1" x14ac:dyDescent="0.15">
      <c r="A238" s="58" t="s">
        <v>790</v>
      </c>
      <c r="B238" s="146" t="s">
        <v>791</v>
      </c>
      <c r="C238" s="147"/>
      <c r="D238" s="147"/>
      <c r="E238" s="147"/>
      <c r="F238" s="147"/>
      <c r="G238" s="147"/>
      <c r="H238" s="147"/>
      <c r="I238" s="147"/>
      <c r="J238" s="147"/>
      <c r="K238" s="148"/>
    </row>
    <row r="239" spans="1:11" s="4" customFormat="1" ht="16" x14ac:dyDescent="0.15">
      <c r="A239" s="12">
        <v>1</v>
      </c>
      <c r="B239" s="149" t="s">
        <v>1361</v>
      </c>
      <c r="C239" s="150"/>
      <c r="D239" s="150"/>
      <c r="E239" s="150"/>
      <c r="F239" s="150"/>
      <c r="G239" s="150"/>
      <c r="H239" s="150"/>
      <c r="I239" s="150"/>
      <c r="J239" s="150"/>
      <c r="K239" s="151"/>
    </row>
    <row r="240" spans="1:11" s="4" customFormat="1" ht="51" x14ac:dyDescent="0.15">
      <c r="A240" s="13" t="s">
        <v>16</v>
      </c>
      <c r="B240" s="26" t="s">
        <v>792</v>
      </c>
      <c r="C240" s="55" t="s">
        <v>793</v>
      </c>
      <c r="D240" s="33"/>
      <c r="E240" s="20" t="s">
        <v>794</v>
      </c>
      <c r="F240" s="14"/>
      <c r="G240" s="14"/>
      <c r="H240" s="17"/>
      <c r="I240" s="20" t="s">
        <v>795</v>
      </c>
      <c r="J240" s="14" t="s">
        <v>1294</v>
      </c>
      <c r="K240" s="33"/>
    </row>
    <row r="241" spans="1:11" s="4" customFormat="1" ht="68" x14ac:dyDescent="0.15">
      <c r="A241" s="13" t="s">
        <v>50</v>
      </c>
      <c r="B241" s="17" t="s">
        <v>1295</v>
      </c>
      <c r="C241" s="16" t="s">
        <v>1296</v>
      </c>
      <c r="D241" s="33"/>
      <c r="E241" s="14" t="s">
        <v>1297</v>
      </c>
      <c r="F241" s="14"/>
      <c r="G241" s="14"/>
      <c r="H241" s="17"/>
      <c r="I241" s="14" t="s">
        <v>795</v>
      </c>
      <c r="J241" s="14" t="s">
        <v>1294</v>
      </c>
      <c r="K241" s="33"/>
    </row>
    <row r="242" spans="1:11" s="4" customFormat="1" ht="68" x14ac:dyDescent="0.15">
      <c r="A242" s="13" t="s">
        <v>113</v>
      </c>
      <c r="B242" s="17" t="s">
        <v>796</v>
      </c>
      <c r="C242" s="18" t="s">
        <v>797</v>
      </c>
      <c r="D242" s="33"/>
      <c r="E242" s="14" t="s">
        <v>798</v>
      </c>
      <c r="F242" s="14"/>
      <c r="G242" s="14"/>
      <c r="H242" s="17"/>
      <c r="I242" s="14" t="s">
        <v>795</v>
      </c>
      <c r="J242" s="14" t="s">
        <v>1294</v>
      </c>
      <c r="K242" s="33"/>
    </row>
    <row r="243" spans="1:11" s="4" customFormat="1" ht="45.75" customHeight="1" x14ac:dyDescent="0.15">
      <c r="A243" s="13" t="s">
        <v>155</v>
      </c>
      <c r="B243" s="41" t="s">
        <v>1298</v>
      </c>
      <c r="C243" s="52" t="s">
        <v>1299</v>
      </c>
      <c r="D243" s="112"/>
      <c r="E243" s="14" t="s">
        <v>1300</v>
      </c>
      <c r="F243" s="14"/>
      <c r="G243" s="14"/>
      <c r="H243" s="17"/>
      <c r="I243" s="14" t="s">
        <v>795</v>
      </c>
      <c r="J243" s="14" t="s">
        <v>1301</v>
      </c>
      <c r="K243" s="33"/>
    </row>
    <row r="244" spans="1:11" s="4" customFormat="1" ht="97.5" customHeight="1" x14ac:dyDescent="0.15">
      <c r="A244" s="13" t="s">
        <v>212</v>
      </c>
      <c r="B244" s="60" t="s">
        <v>799</v>
      </c>
      <c r="C244" s="61" t="s">
        <v>800</v>
      </c>
      <c r="D244" s="33"/>
      <c r="E244" s="14" t="s">
        <v>542</v>
      </c>
      <c r="F244" s="14"/>
      <c r="G244" s="14" t="s">
        <v>77</v>
      </c>
      <c r="H244" s="17"/>
      <c r="I244" s="10"/>
      <c r="J244" s="97" t="s">
        <v>1302</v>
      </c>
      <c r="K244" s="33"/>
    </row>
    <row r="245" spans="1:11" s="4" customFormat="1" ht="84" customHeight="1" x14ac:dyDescent="0.15">
      <c r="A245" s="13" t="s">
        <v>267</v>
      </c>
      <c r="B245" s="62" t="s">
        <v>892</v>
      </c>
      <c r="C245" s="113" t="s">
        <v>1303</v>
      </c>
      <c r="D245" s="33"/>
      <c r="E245" s="14" t="s">
        <v>1304</v>
      </c>
      <c r="F245" s="14"/>
      <c r="G245" s="14"/>
      <c r="H245" s="17"/>
      <c r="I245" s="14" t="s">
        <v>795</v>
      </c>
      <c r="J245" s="97" t="s">
        <v>1305</v>
      </c>
      <c r="K245" s="33"/>
    </row>
    <row r="246" spans="1:11" s="4" customFormat="1" ht="85" x14ac:dyDescent="0.15">
      <c r="A246" s="13" t="s">
        <v>323</v>
      </c>
      <c r="B246" s="62" t="s">
        <v>801</v>
      </c>
      <c r="C246" s="63"/>
      <c r="D246" s="63" t="s">
        <v>802</v>
      </c>
      <c r="E246" s="20" t="s">
        <v>803</v>
      </c>
      <c r="F246" s="14"/>
      <c r="G246" s="20" t="s">
        <v>804</v>
      </c>
      <c r="H246" s="17"/>
      <c r="I246" s="10"/>
      <c r="J246" s="14" t="s">
        <v>1306</v>
      </c>
      <c r="K246" s="33"/>
    </row>
    <row r="247" spans="1:11" s="4" customFormat="1" ht="68" x14ac:dyDescent="0.15">
      <c r="A247" s="13" t="s">
        <v>351</v>
      </c>
      <c r="B247" s="62" t="s">
        <v>561</v>
      </c>
      <c r="C247" s="63"/>
      <c r="D247" s="63" t="s">
        <v>805</v>
      </c>
      <c r="E247" s="20" t="s">
        <v>806</v>
      </c>
      <c r="F247" s="14"/>
      <c r="G247" s="20" t="s">
        <v>138</v>
      </c>
      <c r="H247" s="17"/>
      <c r="I247" s="10"/>
      <c r="J247" s="14" t="s">
        <v>1307</v>
      </c>
      <c r="K247" s="33"/>
    </row>
    <row r="248" spans="1:11" s="4" customFormat="1" ht="51" x14ac:dyDescent="0.15">
      <c r="A248" s="13" t="s">
        <v>503</v>
      </c>
      <c r="B248" s="60" t="s">
        <v>807</v>
      </c>
      <c r="C248" s="61"/>
      <c r="D248" s="61" t="s">
        <v>808</v>
      </c>
      <c r="E248" s="20" t="s">
        <v>809</v>
      </c>
      <c r="F248" s="14"/>
      <c r="G248" s="20" t="s">
        <v>810</v>
      </c>
      <c r="H248" s="17"/>
      <c r="I248" s="10"/>
      <c r="J248" s="14" t="s">
        <v>1307</v>
      </c>
      <c r="K248" s="33"/>
    </row>
    <row r="249" spans="1:11" s="4" customFormat="1" ht="16" x14ac:dyDescent="0.15">
      <c r="A249" s="12">
        <v>2</v>
      </c>
      <c r="B249" s="152" t="s">
        <v>1308</v>
      </c>
      <c r="C249" s="153"/>
      <c r="D249" s="153"/>
      <c r="E249" s="153"/>
      <c r="F249" s="153"/>
      <c r="G249" s="153"/>
      <c r="H249" s="153"/>
      <c r="I249" s="153"/>
      <c r="J249" s="153"/>
      <c r="K249" s="154"/>
    </row>
    <row r="250" spans="1:11" s="4" customFormat="1" ht="51" x14ac:dyDescent="0.15">
      <c r="A250" s="13" t="s">
        <v>394</v>
      </c>
      <c r="B250" s="64" t="s">
        <v>811</v>
      </c>
      <c r="C250" s="65" t="s">
        <v>812</v>
      </c>
      <c r="D250" s="33"/>
      <c r="E250" s="14" t="s">
        <v>813</v>
      </c>
      <c r="F250" s="14"/>
      <c r="G250" s="14" t="s">
        <v>388</v>
      </c>
      <c r="H250" s="17"/>
      <c r="I250" s="10"/>
      <c r="J250" s="14" t="s">
        <v>1309</v>
      </c>
      <c r="K250" s="20" t="s">
        <v>1310</v>
      </c>
    </row>
    <row r="251" spans="1:11" s="4" customFormat="1" ht="51" x14ac:dyDescent="0.15">
      <c r="A251" s="13" t="s">
        <v>400</v>
      </c>
      <c r="B251" s="64" t="s">
        <v>814</v>
      </c>
      <c r="C251" s="65" t="s">
        <v>815</v>
      </c>
      <c r="D251" s="9"/>
      <c r="E251" s="14" t="s">
        <v>816</v>
      </c>
      <c r="F251" s="14"/>
      <c r="G251" s="14"/>
      <c r="H251" s="17"/>
      <c r="I251" s="10"/>
      <c r="J251" s="14" t="s">
        <v>1309</v>
      </c>
      <c r="K251" s="20" t="s">
        <v>1310</v>
      </c>
    </row>
    <row r="252" spans="1:11" s="4" customFormat="1" ht="51" x14ac:dyDescent="0.15">
      <c r="A252" s="13" t="s">
        <v>406</v>
      </c>
      <c r="B252" s="64" t="s">
        <v>817</v>
      </c>
      <c r="C252" s="66" t="s">
        <v>818</v>
      </c>
      <c r="D252" s="9"/>
      <c r="E252" s="14" t="s">
        <v>819</v>
      </c>
      <c r="F252" s="14"/>
      <c r="G252" s="14"/>
      <c r="H252" s="17" t="s">
        <v>820</v>
      </c>
      <c r="I252" s="10"/>
      <c r="J252" s="14" t="s">
        <v>1309</v>
      </c>
      <c r="K252" s="20" t="s">
        <v>1310</v>
      </c>
    </row>
    <row r="253" spans="1:11" s="4" customFormat="1" ht="51" x14ac:dyDescent="0.15">
      <c r="A253" s="13" t="s">
        <v>589</v>
      </c>
      <c r="B253" s="14" t="s">
        <v>821</v>
      </c>
      <c r="C253" s="67"/>
      <c r="D253" s="59" t="s">
        <v>822</v>
      </c>
      <c r="E253" s="20" t="s">
        <v>823</v>
      </c>
      <c r="F253" s="26"/>
      <c r="G253" s="26" t="s">
        <v>77</v>
      </c>
      <c r="H253" s="26"/>
      <c r="I253" s="26"/>
      <c r="J253" s="14" t="s">
        <v>1311</v>
      </c>
      <c r="K253" s="20" t="s">
        <v>1310</v>
      </c>
    </row>
    <row r="254" spans="1:11" s="4" customFormat="1" ht="51" x14ac:dyDescent="0.15">
      <c r="A254" s="13" t="s">
        <v>410</v>
      </c>
      <c r="B254" s="21" t="s">
        <v>824</v>
      </c>
      <c r="C254" s="68"/>
      <c r="D254" s="69" t="s">
        <v>825</v>
      </c>
      <c r="E254" s="20" t="s">
        <v>826</v>
      </c>
      <c r="F254" s="14"/>
      <c r="G254" s="44" t="s">
        <v>77</v>
      </c>
      <c r="H254" s="14"/>
      <c r="I254" s="14" t="s">
        <v>820</v>
      </c>
      <c r="J254" s="14" t="s">
        <v>1312</v>
      </c>
      <c r="K254" s="20" t="s">
        <v>1310</v>
      </c>
    </row>
    <row r="255" spans="1:11" s="4" customFormat="1" ht="51" x14ac:dyDescent="0.15">
      <c r="A255" s="13" t="s">
        <v>414</v>
      </c>
      <c r="B255" s="21" t="s">
        <v>1313</v>
      </c>
      <c r="C255" s="68"/>
      <c r="D255" s="69" t="s">
        <v>1314</v>
      </c>
      <c r="E255" s="20" t="s">
        <v>1315</v>
      </c>
      <c r="F255" s="14"/>
      <c r="G255" s="44" t="s">
        <v>383</v>
      </c>
      <c r="H255" s="14"/>
      <c r="I255" s="14" t="s">
        <v>820</v>
      </c>
      <c r="J255" s="14" t="s">
        <v>1312</v>
      </c>
      <c r="K255" s="20" t="s">
        <v>1310</v>
      </c>
    </row>
    <row r="256" spans="1:11" s="4" customFormat="1" ht="51" x14ac:dyDescent="0.15">
      <c r="A256" s="13" t="s">
        <v>418</v>
      </c>
      <c r="B256" s="21" t="s">
        <v>827</v>
      </c>
      <c r="C256" s="32"/>
      <c r="D256" s="32" t="s">
        <v>828</v>
      </c>
      <c r="E256" s="20" t="s">
        <v>829</v>
      </c>
      <c r="F256" s="14"/>
      <c r="G256" s="20" t="s">
        <v>77</v>
      </c>
      <c r="H256" s="14"/>
      <c r="I256" s="10"/>
      <c r="J256" s="14" t="s">
        <v>1316</v>
      </c>
      <c r="K256" s="20" t="s">
        <v>1310</v>
      </c>
    </row>
    <row r="257" spans="1:11" s="4" customFormat="1" ht="57.75" customHeight="1" x14ac:dyDescent="0.15">
      <c r="A257" s="13" t="s">
        <v>422</v>
      </c>
      <c r="B257" s="21" t="s">
        <v>830</v>
      </c>
      <c r="C257" s="68" t="s">
        <v>831</v>
      </c>
      <c r="D257" s="71"/>
      <c r="E257" s="20" t="s">
        <v>832</v>
      </c>
      <c r="F257" s="14"/>
      <c r="G257" s="44" t="s">
        <v>77</v>
      </c>
      <c r="H257" s="14"/>
      <c r="I257" s="14" t="s">
        <v>833</v>
      </c>
      <c r="J257" s="14" t="s">
        <v>1312</v>
      </c>
      <c r="K257" s="20" t="s">
        <v>1310</v>
      </c>
    </row>
    <row r="258" spans="1:11" s="4" customFormat="1" ht="66" customHeight="1" x14ac:dyDescent="0.15">
      <c r="A258" s="13" t="s">
        <v>426</v>
      </c>
      <c r="B258" s="14" t="s">
        <v>481</v>
      </c>
      <c r="C258" s="32"/>
      <c r="D258" s="32" t="s">
        <v>834</v>
      </c>
      <c r="E258" s="20" t="s">
        <v>592</v>
      </c>
      <c r="F258" s="14"/>
      <c r="G258" s="14"/>
      <c r="H258" s="20" t="s">
        <v>835</v>
      </c>
      <c r="I258" s="14"/>
      <c r="J258" s="14" t="s">
        <v>1317</v>
      </c>
      <c r="K258" s="20" t="s">
        <v>1318</v>
      </c>
    </row>
    <row r="259" spans="1:11" s="4" customFormat="1" ht="51" x14ac:dyDescent="0.15">
      <c r="A259" s="13" t="s">
        <v>430</v>
      </c>
      <c r="B259" s="14" t="s">
        <v>836</v>
      </c>
      <c r="C259" s="32"/>
      <c r="D259" s="32" t="s">
        <v>837</v>
      </c>
      <c r="E259" s="20" t="s">
        <v>838</v>
      </c>
      <c r="F259" s="14"/>
      <c r="G259" s="20" t="s">
        <v>839</v>
      </c>
      <c r="H259" s="14"/>
      <c r="I259" s="10"/>
      <c r="J259" s="14" t="s">
        <v>1316</v>
      </c>
      <c r="K259" s="20" t="s">
        <v>1310</v>
      </c>
    </row>
    <row r="260" spans="1:11" s="4" customFormat="1" ht="51" x14ac:dyDescent="0.15">
      <c r="A260" s="13" t="s">
        <v>434</v>
      </c>
      <c r="B260" s="21" t="s">
        <v>840</v>
      </c>
      <c r="C260" s="32" t="s">
        <v>841</v>
      </c>
      <c r="D260" s="33"/>
      <c r="E260" s="20" t="s">
        <v>842</v>
      </c>
      <c r="F260" s="14"/>
      <c r="G260" s="20" t="s">
        <v>497</v>
      </c>
      <c r="H260" s="14"/>
      <c r="I260" s="10"/>
      <c r="J260" s="14" t="s">
        <v>1316</v>
      </c>
      <c r="K260" s="21" t="s">
        <v>1319</v>
      </c>
    </row>
    <row r="261" spans="1:11" ht="85" x14ac:dyDescent="0.15">
      <c r="A261" s="13" t="s">
        <v>439</v>
      </c>
      <c r="B261" s="36" t="s">
        <v>843</v>
      </c>
      <c r="C261" s="36"/>
      <c r="D261" s="36" t="s">
        <v>844</v>
      </c>
      <c r="E261" s="20" t="s">
        <v>845</v>
      </c>
      <c r="F261" s="14"/>
      <c r="G261" s="20" t="s">
        <v>87</v>
      </c>
      <c r="H261" s="14"/>
      <c r="I261" s="10"/>
      <c r="J261" s="46" t="s">
        <v>1320</v>
      </c>
      <c r="K261" s="21" t="s">
        <v>1321</v>
      </c>
    </row>
    <row r="263" spans="1:11" x14ac:dyDescent="0.15">
      <c r="A263" s="137" t="s">
        <v>1355</v>
      </c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</row>
    <row r="264" spans="1:11" x14ac:dyDescent="0.15">
      <c r="A264" s="137" t="s">
        <v>1322</v>
      </c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</row>
    <row r="265" spans="1:11" ht="35.25" customHeight="1" x14ac:dyDescent="0.15">
      <c r="A265" s="99" t="s">
        <v>1323</v>
      </c>
      <c r="B265" s="99" t="s">
        <v>1324</v>
      </c>
      <c r="C265" s="100" t="s">
        <v>1325</v>
      </c>
      <c r="D265" s="98"/>
      <c r="E265" s="98"/>
      <c r="F265" s="98"/>
      <c r="G265" s="98"/>
      <c r="H265" s="98"/>
      <c r="I265" s="98"/>
      <c r="J265" s="70"/>
    </row>
    <row r="266" spans="1:11" ht="35.25" customHeight="1" x14ac:dyDescent="0.15">
      <c r="A266" s="99" t="s">
        <v>1326</v>
      </c>
      <c r="B266" s="99" t="s">
        <v>1327</v>
      </c>
      <c r="C266" s="88">
        <f>SUM(C267+C277+C278)</f>
        <v>237</v>
      </c>
      <c r="D266" s="98"/>
      <c r="E266" s="98"/>
      <c r="F266" s="98"/>
      <c r="G266" s="98"/>
      <c r="H266" s="98"/>
      <c r="I266" s="98"/>
      <c r="J266" s="70"/>
    </row>
    <row r="267" spans="1:11" ht="35.25" customHeight="1" x14ac:dyDescent="0.15">
      <c r="A267" s="138" t="s">
        <v>1353</v>
      </c>
      <c r="B267" s="139"/>
      <c r="C267" s="88">
        <f>SUM(C268+C269+C277)</f>
        <v>109</v>
      </c>
      <c r="D267" s="98"/>
      <c r="E267" s="98"/>
      <c r="F267" s="98"/>
      <c r="G267" s="98"/>
      <c r="H267" s="98"/>
      <c r="I267" s="98"/>
      <c r="J267" s="70"/>
    </row>
    <row r="268" spans="1:11" ht="35.25" customHeight="1" x14ac:dyDescent="0.15">
      <c r="A268" s="101" t="s">
        <v>13</v>
      </c>
      <c r="B268" s="99" t="s">
        <v>1350</v>
      </c>
      <c r="C268" s="88">
        <v>6</v>
      </c>
      <c r="D268" s="98"/>
      <c r="E268" s="98"/>
      <c r="F268" s="98"/>
      <c r="G268" s="98"/>
      <c r="H268" s="98"/>
      <c r="I268" s="98"/>
      <c r="J268" s="70"/>
    </row>
    <row r="269" spans="1:11" ht="35.25" customHeight="1" x14ac:dyDescent="0.15">
      <c r="A269" s="101" t="s">
        <v>474</v>
      </c>
      <c r="B269" s="99" t="s">
        <v>1328</v>
      </c>
      <c r="C269" s="88">
        <f>SUM(C270:C276)</f>
        <v>83</v>
      </c>
      <c r="D269" s="98"/>
      <c r="E269" s="98"/>
      <c r="F269" s="98"/>
      <c r="G269" s="98"/>
      <c r="H269" s="98"/>
      <c r="I269" s="98"/>
      <c r="J269" s="70"/>
    </row>
    <row r="270" spans="1:11" x14ac:dyDescent="0.15">
      <c r="A270" s="102">
        <v>2</v>
      </c>
      <c r="B270" s="76" t="s">
        <v>1329</v>
      </c>
      <c r="C270" s="102">
        <v>15</v>
      </c>
      <c r="D270" s="98"/>
      <c r="E270" s="98"/>
      <c r="F270" s="98"/>
      <c r="G270" s="98"/>
      <c r="H270" s="98"/>
      <c r="I270" s="98"/>
      <c r="J270" s="70"/>
    </row>
    <row r="271" spans="1:11" x14ac:dyDescent="0.15">
      <c r="A271" s="102">
        <v>3</v>
      </c>
      <c r="B271" s="70" t="s">
        <v>1330</v>
      </c>
      <c r="C271" s="102">
        <v>9</v>
      </c>
      <c r="D271" s="98"/>
      <c r="E271" s="98"/>
      <c r="F271" s="98"/>
      <c r="G271" s="98"/>
      <c r="H271" s="98"/>
      <c r="I271" s="98"/>
      <c r="J271" s="70"/>
    </row>
    <row r="272" spans="1:11" x14ac:dyDescent="0.15">
      <c r="A272" s="102">
        <v>4</v>
      </c>
      <c r="B272" s="76" t="s">
        <v>1331</v>
      </c>
      <c r="C272" s="102">
        <v>14</v>
      </c>
      <c r="D272" s="98"/>
      <c r="E272" s="98"/>
      <c r="F272" s="98"/>
      <c r="G272" s="98"/>
      <c r="H272" s="98"/>
      <c r="I272" s="98"/>
      <c r="J272" s="70"/>
    </row>
    <row r="273" spans="1:15" ht="30" x14ac:dyDescent="0.15">
      <c r="A273" s="102">
        <v>5</v>
      </c>
      <c r="B273" s="103" t="s">
        <v>1332</v>
      </c>
      <c r="C273" s="102">
        <v>14</v>
      </c>
      <c r="D273" s="98"/>
      <c r="E273" s="98"/>
      <c r="F273" s="98"/>
      <c r="G273" s="98"/>
      <c r="H273" s="98"/>
      <c r="I273" s="98"/>
      <c r="J273" s="70"/>
    </row>
    <row r="274" spans="1:15" ht="15" x14ac:dyDescent="0.15">
      <c r="A274" s="102">
        <v>6</v>
      </c>
      <c r="B274" s="103" t="s">
        <v>1333</v>
      </c>
      <c r="C274" s="102">
        <v>14</v>
      </c>
      <c r="D274" s="98"/>
      <c r="E274" s="98"/>
      <c r="F274" s="98"/>
      <c r="G274" s="98"/>
      <c r="H274" s="98"/>
      <c r="I274" s="98"/>
      <c r="J274" s="70"/>
    </row>
    <row r="275" spans="1:15" ht="45" x14ac:dyDescent="0.15">
      <c r="A275" s="102">
        <v>7</v>
      </c>
      <c r="B275" s="103" t="s">
        <v>1334</v>
      </c>
      <c r="C275" s="102">
        <v>8</v>
      </c>
      <c r="D275" s="98"/>
      <c r="E275" s="98"/>
      <c r="F275" s="98"/>
      <c r="G275" s="98"/>
      <c r="H275" s="98"/>
      <c r="I275" s="98"/>
      <c r="J275" s="70"/>
    </row>
    <row r="276" spans="1:15" x14ac:dyDescent="0.15">
      <c r="A276" s="102">
        <v>8</v>
      </c>
      <c r="B276" s="76" t="s">
        <v>1335</v>
      </c>
      <c r="C276" s="102">
        <v>9</v>
      </c>
      <c r="D276" s="98"/>
      <c r="E276" s="98"/>
      <c r="F276" s="98"/>
      <c r="G276" s="98"/>
      <c r="H276" s="98"/>
      <c r="I276" s="98"/>
      <c r="J276" s="70"/>
    </row>
    <row r="277" spans="1:15" x14ac:dyDescent="0.15">
      <c r="A277" s="101" t="s">
        <v>790</v>
      </c>
      <c r="B277" s="99" t="s">
        <v>1336</v>
      </c>
      <c r="C277" s="101">
        <v>20</v>
      </c>
      <c r="D277" s="98"/>
      <c r="E277" s="98"/>
      <c r="F277" s="98"/>
      <c r="G277" s="98"/>
      <c r="H277" s="98"/>
      <c r="I277" s="98"/>
      <c r="J277" s="70"/>
    </row>
    <row r="278" spans="1:15" x14ac:dyDescent="0.15">
      <c r="A278" s="101" t="s">
        <v>1339</v>
      </c>
      <c r="B278" s="99" t="s">
        <v>1337</v>
      </c>
      <c r="C278" s="101">
        <f>SUM(C279:C281)</f>
        <v>108</v>
      </c>
      <c r="D278" s="98"/>
      <c r="E278" s="98"/>
      <c r="F278" s="98"/>
      <c r="G278" s="98"/>
      <c r="H278" s="98"/>
      <c r="I278" s="98"/>
      <c r="J278" s="70"/>
    </row>
    <row r="279" spans="1:15" ht="45" x14ac:dyDescent="0.15">
      <c r="A279" s="102">
        <v>1</v>
      </c>
      <c r="B279" s="103" t="s">
        <v>1338</v>
      </c>
      <c r="C279" s="102">
        <v>32</v>
      </c>
      <c r="D279" s="98"/>
      <c r="E279" s="98"/>
      <c r="F279" s="98"/>
      <c r="G279" s="98"/>
      <c r="H279" s="98"/>
      <c r="I279" s="98"/>
      <c r="J279" s="70"/>
    </row>
    <row r="280" spans="1:15" ht="30" x14ac:dyDescent="0.15">
      <c r="A280" s="102">
        <v>2</v>
      </c>
      <c r="B280" s="103" t="s">
        <v>1318</v>
      </c>
      <c r="C280" s="102">
        <v>59</v>
      </c>
      <c r="D280" s="98"/>
      <c r="E280" s="98"/>
      <c r="F280" s="98"/>
      <c r="G280" s="98"/>
      <c r="H280" s="98"/>
      <c r="I280" s="98"/>
      <c r="J280" s="70"/>
    </row>
    <row r="281" spans="1:15" ht="30" x14ac:dyDescent="0.15">
      <c r="A281" s="102">
        <v>3</v>
      </c>
      <c r="B281" s="103" t="s">
        <v>1310</v>
      </c>
      <c r="C281" s="102">
        <v>17</v>
      </c>
      <c r="D281" s="98"/>
      <c r="E281" s="98"/>
      <c r="F281" s="98"/>
      <c r="G281" s="98"/>
      <c r="H281" s="98"/>
      <c r="I281" s="98"/>
      <c r="J281" s="70"/>
    </row>
    <row r="282" spans="1:15" ht="15" x14ac:dyDescent="0.15">
      <c r="A282" s="101" t="s">
        <v>1354</v>
      </c>
      <c r="B282" s="100" t="s">
        <v>1340</v>
      </c>
      <c r="C282" s="101">
        <f>SUM(C283:C284)</f>
        <v>21</v>
      </c>
      <c r="D282" s="98"/>
      <c r="E282" s="98"/>
      <c r="F282" s="98"/>
      <c r="G282" s="98"/>
      <c r="H282" s="98"/>
      <c r="I282" s="98"/>
      <c r="J282" s="70"/>
    </row>
    <row r="283" spans="1:15" x14ac:dyDescent="0.15">
      <c r="A283" s="102">
        <v>1</v>
      </c>
      <c r="B283" s="76" t="s">
        <v>1341</v>
      </c>
      <c r="C283" s="102">
        <v>9</v>
      </c>
      <c r="D283" s="98"/>
      <c r="E283" s="98"/>
      <c r="F283" s="98"/>
      <c r="G283" s="98"/>
      <c r="H283" s="98"/>
      <c r="I283" s="98"/>
      <c r="J283" s="70"/>
    </row>
    <row r="284" spans="1:15" ht="30" x14ac:dyDescent="0.15">
      <c r="A284" s="102">
        <v>2</v>
      </c>
      <c r="B284" s="104" t="s">
        <v>1342</v>
      </c>
      <c r="C284" s="102">
        <v>12</v>
      </c>
      <c r="D284" s="73"/>
      <c r="I284" s="70"/>
      <c r="J284" s="70"/>
      <c r="O284" s="73"/>
    </row>
  </sheetData>
  <mergeCells count="27">
    <mergeCell ref="A1:K1"/>
    <mergeCell ref="A2:K2"/>
    <mergeCell ref="A4:A5"/>
    <mergeCell ref="B4:B5"/>
    <mergeCell ref="C4:D4"/>
    <mergeCell ref="E4:E5"/>
    <mergeCell ref="F4:I4"/>
    <mergeCell ref="J4:J5"/>
    <mergeCell ref="K4:K5"/>
    <mergeCell ref="B220:K220"/>
    <mergeCell ref="B14:K14"/>
    <mergeCell ref="B15:K15"/>
    <mergeCell ref="B31:K31"/>
    <mergeCell ref="B41:K41"/>
    <mergeCell ref="B56:K56"/>
    <mergeCell ref="B71:K71"/>
    <mergeCell ref="B86:K86"/>
    <mergeCell ref="B95:K95"/>
    <mergeCell ref="B105:K105"/>
    <mergeCell ref="B127:K127"/>
    <mergeCell ref="B160:K160"/>
    <mergeCell ref="A267:B267"/>
    <mergeCell ref="B238:K238"/>
    <mergeCell ref="B239:K239"/>
    <mergeCell ref="B249:K249"/>
    <mergeCell ref="A263:K263"/>
    <mergeCell ref="A264:K264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CBCCVC đến nay</vt:lpstr>
      <vt:lpstr>Sheet1</vt:lpstr>
      <vt:lpstr>CBCCVC có mặt 1-7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KhaiBi</cp:lastModifiedBy>
  <dcterms:created xsi:type="dcterms:W3CDTF">2025-12-01T09:25:16Z</dcterms:created>
  <dcterms:modified xsi:type="dcterms:W3CDTF">2026-06-09T06:58:35Z</dcterms:modified>
</cp:coreProperties>
</file>